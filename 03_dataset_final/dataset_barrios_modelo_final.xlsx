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honn\Desktop\NEOLAND\PROYECTO\PROYECTO_BOOTCAMP_ALQUILER\03_dataset_final\"/>
    </mc:Choice>
  </mc:AlternateContent>
  <xr:revisionPtr revIDLastSave="0" documentId="13_ncr:1_{68A1AF19-7002-43E2-B716-3EE65637F8D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  <sheet name="Coeficiente" sheetId="2" r:id="rId2"/>
  </sheets>
  <calcPr calcId="191029" iterateDelta="1E-4"/>
</workbook>
</file>

<file path=xl/calcChain.xml><?xml version="1.0" encoding="utf-8"?>
<calcChain xmlns="http://schemas.openxmlformats.org/spreadsheetml/2006/main">
  <c r="AD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B7" i="2"/>
  <c r="B8" i="2"/>
  <c r="B6" i="2"/>
  <c r="M3" i="1"/>
  <c r="M4" i="1"/>
  <c r="M5" i="1"/>
  <c r="M6" i="1"/>
  <c r="M7" i="1"/>
  <c r="M8" i="1"/>
  <c r="M9" i="1"/>
  <c r="M10" i="1"/>
  <c r="M11" i="1"/>
  <c r="M12" i="1"/>
  <c r="M13" i="1"/>
  <c r="M14" i="1"/>
  <c r="B5" i="2" s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AG3" i="1" l="1"/>
  <c r="AJ3" i="1" s="1"/>
  <c r="AG4" i="1"/>
  <c r="AJ4" i="1" s="1"/>
  <c r="AG5" i="1"/>
  <c r="AJ5" i="1" s="1"/>
  <c r="AG6" i="1"/>
  <c r="AJ6" i="1" s="1"/>
  <c r="AG7" i="1"/>
  <c r="AJ7" i="1" s="1"/>
  <c r="AG8" i="1"/>
  <c r="AJ8" i="1" s="1"/>
  <c r="AG9" i="1"/>
  <c r="AJ9" i="1" s="1"/>
  <c r="AG10" i="1"/>
  <c r="AJ10" i="1" s="1"/>
  <c r="AG11" i="1"/>
  <c r="AJ11" i="1" s="1"/>
  <c r="AG12" i="1"/>
  <c r="AJ12" i="1" s="1"/>
  <c r="AG13" i="1"/>
  <c r="AJ13" i="1" s="1"/>
  <c r="AG14" i="1"/>
  <c r="AJ14" i="1" s="1"/>
  <c r="AG15" i="1"/>
  <c r="AJ15" i="1" s="1"/>
  <c r="AG16" i="1"/>
  <c r="AJ16" i="1" s="1"/>
  <c r="AG17" i="1"/>
  <c r="AJ17" i="1" s="1"/>
  <c r="AG18" i="1"/>
  <c r="AJ18" i="1" s="1"/>
  <c r="AG19" i="1"/>
  <c r="AJ19" i="1" s="1"/>
  <c r="AG20" i="1"/>
  <c r="AJ20" i="1" s="1"/>
  <c r="AG21" i="1"/>
  <c r="AJ21" i="1" s="1"/>
  <c r="AG22" i="1"/>
  <c r="AJ22" i="1" s="1"/>
  <c r="AG23" i="1"/>
  <c r="AJ23" i="1" s="1"/>
  <c r="AG24" i="1"/>
  <c r="AJ24" i="1" s="1"/>
  <c r="AG25" i="1"/>
  <c r="AJ25" i="1" s="1"/>
  <c r="AG26" i="1"/>
  <c r="AJ26" i="1" s="1"/>
  <c r="AG27" i="1"/>
  <c r="AJ27" i="1" s="1"/>
  <c r="AG28" i="1"/>
  <c r="AJ28" i="1" s="1"/>
  <c r="AG29" i="1"/>
  <c r="AJ29" i="1" s="1"/>
  <c r="AG30" i="1"/>
  <c r="AJ30" i="1" s="1"/>
  <c r="AG31" i="1"/>
  <c r="AJ31" i="1" s="1"/>
  <c r="AG32" i="1"/>
  <c r="AJ32" i="1" s="1"/>
  <c r="AG33" i="1"/>
  <c r="AJ33" i="1" s="1"/>
  <c r="AG34" i="1"/>
  <c r="AJ34" i="1" s="1"/>
  <c r="AG35" i="1"/>
  <c r="AJ35" i="1" s="1"/>
  <c r="AG36" i="1"/>
  <c r="AJ36" i="1" s="1"/>
  <c r="AG37" i="1"/>
  <c r="AJ37" i="1" s="1"/>
  <c r="AG38" i="1"/>
  <c r="AJ38" i="1" s="1"/>
  <c r="AG39" i="1"/>
  <c r="AJ39" i="1" s="1"/>
  <c r="AG40" i="1"/>
  <c r="AJ40" i="1" s="1"/>
  <c r="AG41" i="1"/>
  <c r="AJ41" i="1" s="1"/>
  <c r="AG42" i="1"/>
  <c r="AJ42" i="1" s="1"/>
  <c r="AG43" i="1"/>
  <c r="AJ43" i="1" s="1"/>
  <c r="AG44" i="1"/>
  <c r="AJ44" i="1" s="1"/>
  <c r="AG45" i="1"/>
  <c r="AJ45" i="1" s="1"/>
  <c r="AG46" i="1"/>
  <c r="AJ46" i="1" s="1"/>
  <c r="AG47" i="1"/>
  <c r="AJ47" i="1" s="1"/>
  <c r="AG48" i="1"/>
  <c r="AJ48" i="1" s="1"/>
  <c r="AG49" i="1"/>
  <c r="AJ49" i="1" s="1"/>
  <c r="AG50" i="1"/>
  <c r="AJ50" i="1" s="1"/>
  <c r="AG51" i="1"/>
  <c r="AJ51" i="1" s="1"/>
  <c r="AG52" i="1"/>
  <c r="AJ52" i="1" s="1"/>
  <c r="AG53" i="1"/>
  <c r="AJ53" i="1" s="1"/>
  <c r="AG54" i="1"/>
  <c r="AJ54" i="1" s="1"/>
  <c r="AG55" i="1"/>
  <c r="AJ55" i="1" s="1"/>
  <c r="AG56" i="1"/>
  <c r="AJ56" i="1" s="1"/>
  <c r="AG57" i="1"/>
  <c r="AJ57" i="1" s="1"/>
  <c r="AG58" i="1"/>
  <c r="AJ58" i="1" s="1"/>
  <c r="AG59" i="1"/>
  <c r="AJ59" i="1" s="1"/>
  <c r="AG60" i="1"/>
  <c r="AJ60" i="1" s="1"/>
  <c r="AG61" i="1"/>
  <c r="AJ61" i="1" s="1"/>
  <c r="AG62" i="1"/>
  <c r="AJ62" i="1" s="1"/>
  <c r="AG63" i="1"/>
  <c r="AJ63" i="1" s="1"/>
  <c r="AG64" i="1"/>
  <c r="AJ64" i="1" s="1"/>
  <c r="AG65" i="1"/>
  <c r="AJ65" i="1" s="1"/>
  <c r="AG66" i="1"/>
  <c r="AJ66" i="1" s="1"/>
  <c r="AG67" i="1"/>
  <c r="AJ67" i="1" s="1"/>
  <c r="AG68" i="1"/>
  <c r="AJ68" i="1" s="1"/>
  <c r="AG69" i="1"/>
  <c r="AJ69" i="1" s="1"/>
  <c r="AG70" i="1"/>
  <c r="AJ70" i="1" s="1"/>
  <c r="AG71" i="1"/>
  <c r="AJ71" i="1" s="1"/>
  <c r="AG72" i="1"/>
  <c r="AJ72" i="1" s="1"/>
  <c r="AG73" i="1"/>
  <c r="AJ73" i="1" s="1"/>
  <c r="AG74" i="1"/>
  <c r="AJ74" i="1" s="1"/>
  <c r="AG75" i="1"/>
  <c r="AJ75" i="1" s="1"/>
  <c r="AG76" i="1"/>
  <c r="AJ76" i="1" s="1"/>
  <c r="AG77" i="1"/>
  <c r="AJ77" i="1" s="1"/>
  <c r="AG78" i="1"/>
  <c r="AJ78" i="1" s="1"/>
  <c r="AG79" i="1"/>
  <c r="AJ79" i="1" s="1"/>
  <c r="AG80" i="1"/>
  <c r="AJ80" i="1" s="1"/>
  <c r="AG81" i="1"/>
  <c r="AJ81" i="1" s="1"/>
  <c r="AG82" i="1"/>
  <c r="AJ82" i="1" s="1"/>
  <c r="AG83" i="1"/>
  <c r="AJ83" i="1" s="1"/>
  <c r="AG84" i="1"/>
  <c r="AJ84" i="1" s="1"/>
  <c r="AG85" i="1"/>
  <c r="AJ85" i="1" s="1"/>
  <c r="AG86" i="1"/>
  <c r="AJ86" i="1" s="1"/>
  <c r="AG87" i="1"/>
  <c r="AJ87" i="1" s="1"/>
  <c r="AG88" i="1"/>
  <c r="AJ88" i="1" s="1"/>
  <c r="AG89" i="1"/>
  <c r="AJ89" i="1" s="1"/>
  <c r="AG90" i="1"/>
  <c r="AJ90" i="1" s="1"/>
  <c r="AG91" i="1"/>
  <c r="AJ91" i="1" s="1"/>
  <c r="AG92" i="1"/>
  <c r="AJ92" i="1" s="1"/>
  <c r="AG93" i="1"/>
  <c r="AJ93" i="1" s="1"/>
  <c r="AG94" i="1"/>
  <c r="AJ94" i="1" s="1"/>
  <c r="AG95" i="1"/>
  <c r="AJ95" i="1" s="1"/>
  <c r="AG96" i="1"/>
  <c r="AJ96" i="1" s="1"/>
  <c r="AG97" i="1"/>
  <c r="AJ97" i="1" s="1"/>
  <c r="AG98" i="1"/>
  <c r="AJ98" i="1" s="1"/>
  <c r="AG99" i="1"/>
  <c r="AJ99" i="1" s="1"/>
  <c r="AG100" i="1"/>
  <c r="AJ100" i="1" s="1"/>
  <c r="AG101" i="1"/>
  <c r="AJ101" i="1" s="1"/>
  <c r="AG2" i="1"/>
  <c r="AJ2" i="1"/>
  <c r="AF3" i="1"/>
  <c r="AI3" i="1" s="1"/>
  <c r="AF4" i="1"/>
  <c r="AI4" i="1" s="1"/>
  <c r="AF5" i="1"/>
  <c r="AI5" i="1" s="1"/>
  <c r="AF6" i="1"/>
  <c r="AI6" i="1" s="1"/>
  <c r="AF7" i="1"/>
  <c r="AI7" i="1" s="1"/>
  <c r="AF8" i="1"/>
  <c r="AI8" i="1" s="1"/>
  <c r="AF9" i="1"/>
  <c r="AI9" i="1" s="1"/>
  <c r="AF10" i="1"/>
  <c r="AI10" i="1" s="1"/>
  <c r="AF11" i="1"/>
  <c r="AI11" i="1" s="1"/>
  <c r="AF12" i="1"/>
  <c r="AI12" i="1" s="1"/>
  <c r="AF13" i="1"/>
  <c r="AI13" i="1" s="1"/>
  <c r="AF14" i="1"/>
  <c r="AI14" i="1" s="1"/>
  <c r="AF15" i="1"/>
  <c r="AI15" i="1" s="1"/>
  <c r="AF16" i="1"/>
  <c r="AI16" i="1" s="1"/>
  <c r="AF17" i="1"/>
  <c r="AI17" i="1" s="1"/>
  <c r="AF18" i="1"/>
  <c r="AI18" i="1" s="1"/>
  <c r="AF19" i="1"/>
  <c r="AI19" i="1" s="1"/>
  <c r="AF20" i="1"/>
  <c r="AI20" i="1" s="1"/>
  <c r="AF21" i="1"/>
  <c r="AI21" i="1" s="1"/>
  <c r="AF22" i="1"/>
  <c r="AI22" i="1" s="1"/>
  <c r="AF23" i="1"/>
  <c r="AI23" i="1" s="1"/>
  <c r="AF24" i="1"/>
  <c r="AI24" i="1" s="1"/>
  <c r="AF25" i="1"/>
  <c r="AI25" i="1" s="1"/>
  <c r="AF26" i="1"/>
  <c r="AI26" i="1" s="1"/>
  <c r="AF27" i="1"/>
  <c r="AI27" i="1" s="1"/>
  <c r="AF28" i="1"/>
  <c r="AI28" i="1" s="1"/>
  <c r="AF29" i="1"/>
  <c r="AI29" i="1" s="1"/>
  <c r="AF30" i="1"/>
  <c r="AI30" i="1" s="1"/>
  <c r="AF31" i="1"/>
  <c r="AI31" i="1" s="1"/>
  <c r="AF32" i="1"/>
  <c r="AI32" i="1" s="1"/>
  <c r="AF33" i="1"/>
  <c r="AI33" i="1" s="1"/>
  <c r="AF34" i="1"/>
  <c r="AI34" i="1" s="1"/>
  <c r="AF35" i="1"/>
  <c r="AI35" i="1" s="1"/>
  <c r="AF36" i="1"/>
  <c r="AI36" i="1" s="1"/>
  <c r="AF37" i="1"/>
  <c r="AI37" i="1" s="1"/>
  <c r="AF38" i="1"/>
  <c r="AI38" i="1" s="1"/>
  <c r="AF39" i="1"/>
  <c r="AI39" i="1" s="1"/>
  <c r="AF40" i="1"/>
  <c r="AI40" i="1" s="1"/>
  <c r="AF41" i="1"/>
  <c r="AI41" i="1" s="1"/>
  <c r="AF42" i="1"/>
  <c r="AI42" i="1" s="1"/>
  <c r="AF43" i="1"/>
  <c r="AI43" i="1" s="1"/>
  <c r="AF44" i="1"/>
  <c r="AI44" i="1" s="1"/>
  <c r="AF45" i="1"/>
  <c r="AI45" i="1" s="1"/>
  <c r="AF46" i="1"/>
  <c r="AI46" i="1" s="1"/>
  <c r="AF47" i="1"/>
  <c r="AI47" i="1" s="1"/>
  <c r="AF48" i="1"/>
  <c r="AI48" i="1" s="1"/>
  <c r="AF49" i="1"/>
  <c r="AI49" i="1" s="1"/>
  <c r="AF50" i="1"/>
  <c r="AI50" i="1" s="1"/>
  <c r="AF51" i="1"/>
  <c r="AI51" i="1" s="1"/>
  <c r="AF52" i="1"/>
  <c r="AI52" i="1" s="1"/>
  <c r="AF53" i="1"/>
  <c r="AI53" i="1" s="1"/>
  <c r="AF54" i="1"/>
  <c r="AI54" i="1" s="1"/>
  <c r="AF55" i="1"/>
  <c r="AI55" i="1" s="1"/>
  <c r="AF56" i="1"/>
  <c r="AI56" i="1" s="1"/>
  <c r="AF57" i="1"/>
  <c r="AI57" i="1" s="1"/>
  <c r="AF58" i="1"/>
  <c r="AI58" i="1" s="1"/>
  <c r="AF59" i="1"/>
  <c r="AI59" i="1" s="1"/>
  <c r="AF60" i="1"/>
  <c r="AI60" i="1" s="1"/>
  <c r="AF61" i="1"/>
  <c r="AI61" i="1" s="1"/>
  <c r="AF62" i="1"/>
  <c r="AI62" i="1" s="1"/>
  <c r="AF63" i="1"/>
  <c r="AI63" i="1" s="1"/>
  <c r="AF64" i="1"/>
  <c r="AI64" i="1" s="1"/>
  <c r="AF65" i="1"/>
  <c r="AI65" i="1" s="1"/>
  <c r="AF66" i="1"/>
  <c r="AI66" i="1" s="1"/>
  <c r="AF67" i="1"/>
  <c r="AI67" i="1" s="1"/>
  <c r="AF68" i="1"/>
  <c r="AI68" i="1" s="1"/>
  <c r="AF69" i="1"/>
  <c r="AI69" i="1" s="1"/>
  <c r="AF70" i="1"/>
  <c r="AI70" i="1" s="1"/>
  <c r="AF71" i="1"/>
  <c r="AI71" i="1" s="1"/>
  <c r="AF72" i="1"/>
  <c r="AI72" i="1" s="1"/>
  <c r="AF73" i="1"/>
  <c r="AI73" i="1" s="1"/>
  <c r="AF74" i="1"/>
  <c r="AI74" i="1" s="1"/>
  <c r="AF75" i="1"/>
  <c r="AI75" i="1" s="1"/>
  <c r="AF76" i="1"/>
  <c r="AI76" i="1" s="1"/>
  <c r="AF77" i="1"/>
  <c r="AI77" i="1" s="1"/>
  <c r="AF78" i="1"/>
  <c r="AI78" i="1" s="1"/>
  <c r="AF79" i="1"/>
  <c r="AI79" i="1" s="1"/>
  <c r="AF80" i="1"/>
  <c r="AI80" i="1" s="1"/>
  <c r="AF81" i="1"/>
  <c r="AI81" i="1" s="1"/>
  <c r="AF82" i="1"/>
  <c r="AI82" i="1" s="1"/>
  <c r="AF83" i="1"/>
  <c r="AI83" i="1" s="1"/>
  <c r="AF84" i="1"/>
  <c r="AI84" i="1" s="1"/>
  <c r="AF85" i="1"/>
  <c r="AI85" i="1" s="1"/>
  <c r="AF86" i="1"/>
  <c r="AI86" i="1" s="1"/>
  <c r="AF87" i="1"/>
  <c r="AI87" i="1" s="1"/>
  <c r="AF88" i="1"/>
  <c r="AI88" i="1" s="1"/>
  <c r="AF89" i="1"/>
  <c r="AI89" i="1" s="1"/>
  <c r="AF90" i="1"/>
  <c r="AI90" i="1" s="1"/>
  <c r="AF91" i="1"/>
  <c r="AI91" i="1" s="1"/>
  <c r="AF92" i="1"/>
  <c r="AI92" i="1" s="1"/>
  <c r="AF93" i="1"/>
  <c r="AI93" i="1" s="1"/>
  <c r="AF94" i="1"/>
  <c r="AI94" i="1" s="1"/>
  <c r="AF95" i="1"/>
  <c r="AI95" i="1" s="1"/>
  <c r="AF96" i="1"/>
  <c r="AI96" i="1" s="1"/>
  <c r="AF97" i="1"/>
  <c r="AI97" i="1" s="1"/>
  <c r="AF98" i="1"/>
  <c r="AI98" i="1" s="1"/>
  <c r="AF99" i="1"/>
  <c r="AI99" i="1" s="1"/>
  <c r="AF100" i="1"/>
  <c r="AI100" i="1" s="1"/>
  <c r="AF101" i="1"/>
  <c r="AI101" i="1" s="1"/>
  <c r="AF2" i="1"/>
  <c r="AI2" i="1" s="1"/>
  <c r="AE3" i="1"/>
  <c r="AH3" i="1" s="1"/>
  <c r="AE4" i="1"/>
  <c r="AH4" i="1" s="1"/>
  <c r="AE5" i="1"/>
  <c r="AH5" i="1" s="1"/>
  <c r="AE6" i="1"/>
  <c r="AH6" i="1" s="1"/>
  <c r="AE7" i="1"/>
  <c r="AH7" i="1" s="1"/>
  <c r="AE8" i="1"/>
  <c r="AH8" i="1" s="1"/>
  <c r="AE9" i="1"/>
  <c r="AH9" i="1" s="1"/>
  <c r="AE10" i="1"/>
  <c r="AH10" i="1" s="1"/>
  <c r="AE11" i="1"/>
  <c r="AH11" i="1" s="1"/>
  <c r="AE12" i="1"/>
  <c r="AH12" i="1" s="1"/>
  <c r="AE13" i="1"/>
  <c r="AH13" i="1" s="1"/>
  <c r="AE14" i="1"/>
  <c r="AH14" i="1" s="1"/>
  <c r="AE15" i="1"/>
  <c r="AH15" i="1" s="1"/>
  <c r="AE16" i="1"/>
  <c r="AH16" i="1" s="1"/>
  <c r="AE17" i="1"/>
  <c r="AH17" i="1" s="1"/>
  <c r="AE18" i="1"/>
  <c r="AH18" i="1" s="1"/>
  <c r="AE19" i="1"/>
  <c r="AH19" i="1" s="1"/>
  <c r="AE20" i="1"/>
  <c r="AH20" i="1" s="1"/>
  <c r="AE21" i="1"/>
  <c r="AH21" i="1" s="1"/>
  <c r="AE22" i="1"/>
  <c r="AH22" i="1" s="1"/>
  <c r="AE23" i="1"/>
  <c r="AH23" i="1" s="1"/>
  <c r="AE24" i="1"/>
  <c r="AH24" i="1" s="1"/>
  <c r="AE25" i="1"/>
  <c r="AH25" i="1" s="1"/>
  <c r="AE26" i="1"/>
  <c r="AH26" i="1" s="1"/>
  <c r="AE27" i="1"/>
  <c r="AH27" i="1" s="1"/>
  <c r="AE28" i="1"/>
  <c r="AH28" i="1" s="1"/>
  <c r="AE29" i="1"/>
  <c r="AH29" i="1" s="1"/>
  <c r="AE30" i="1"/>
  <c r="AH30" i="1" s="1"/>
  <c r="AE31" i="1"/>
  <c r="AH31" i="1" s="1"/>
  <c r="AE32" i="1"/>
  <c r="AH32" i="1" s="1"/>
  <c r="AE33" i="1"/>
  <c r="AH33" i="1" s="1"/>
  <c r="AE34" i="1"/>
  <c r="AH34" i="1" s="1"/>
  <c r="AE35" i="1"/>
  <c r="AH35" i="1" s="1"/>
  <c r="AE36" i="1"/>
  <c r="AH36" i="1" s="1"/>
  <c r="AE37" i="1"/>
  <c r="AH37" i="1" s="1"/>
  <c r="AE38" i="1"/>
  <c r="AH38" i="1" s="1"/>
  <c r="AE39" i="1"/>
  <c r="AH39" i="1" s="1"/>
  <c r="AE40" i="1"/>
  <c r="AH40" i="1" s="1"/>
  <c r="AE41" i="1"/>
  <c r="AH41" i="1" s="1"/>
  <c r="AE42" i="1"/>
  <c r="AH42" i="1" s="1"/>
  <c r="AE43" i="1"/>
  <c r="AH43" i="1" s="1"/>
  <c r="AE44" i="1"/>
  <c r="AH44" i="1" s="1"/>
  <c r="AE45" i="1"/>
  <c r="AH45" i="1" s="1"/>
  <c r="AE46" i="1"/>
  <c r="AH46" i="1" s="1"/>
  <c r="AE47" i="1"/>
  <c r="AH47" i="1" s="1"/>
  <c r="AE48" i="1"/>
  <c r="AH48" i="1" s="1"/>
  <c r="AE49" i="1"/>
  <c r="AH49" i="1" s="1"/>
  <c r="AE50" i="1"/>
  <c r="AH50" i="1" s="1"/>
  <c r="AE51" i="1"/>
  <c r="AH51" i="1" s="1"/>
  <c r="AE52" i="1"/>
  <c r="AH52" i="1" s="1"/>
  <c r="AE53" i="1"/>
  <c r="AH53" i="1" s="1"/>
  <c r="AE54" i="1"/>
  <c r="AH54" i="1" s="1"/>
  <c r="AE55" i="1"/>
  <c r="AH55" i="1" s="1"/>
  <c r="AE56" i="1"/>
  <c r="AH56" i="1" s="1"/>
  <c r="AE57" i="1"/>
  <c r="AH57" i="1" s="1"/>
  <c r="AE58" i="1"/>
  <c r="AH58" i="1" s="1"/>
  <c r="AE59" i="1"/>
  <c r="AH59" i="1" s="1"/>
  <c r="AE60" i="1"/>
  <c r="AH60" i="1" s="1"/>
  <c r="AE61" i="1"/>
  <c r="AH61" i="1" s="1"/>
  <c r="AE62" i="1"/>
  <c r="AH62" i="1" s="1"/>
  <c r="AE63" i="1"/>
  <c r="AH63" i="1" s="1"/>
  <c r="AE64" i="1"/>
  <c r="AH64" i="1" s="1"/>
  <c r="AE65" i="1"/>
  <c r="AH65" i="1" s="1"/>
  <c r="AE66" i="1"/>
  <c r="AH66" i="1" s="1"/>
  <c r="AE67" i="1"/>
  <c r="AH67" i="1" s="1"/>
  <c r="AE68" i="1"/>
  <c r="AH68" i="1" s="1"/>
  <c r="AE69" i="1"/>
  <c r="AH69" i="1" s="1"/>
  <c r="AE70" i="1"/>
  <c r="AH70" i="1" s="1"/>
  <c r="AE71" i="1"/>
  <c r="AH71" i="1" s="1"/>
  <c r="AE72" i="1"/>
  <c r="AH72" i="1" s="1"/>
  <c r="AE73" i="1"/>
  <c r="AH73" i="1" s="1"/>
  <c r="AE74" i="1"/>
  <c r="AH74" i="1" s="1"/>
  <c r="AE75" i="1"/>
  <c r="AH75" i="1" s="1"/>
  <c r="AE76" i="1"/>
  <c r="AH76" i="1" s="1"/>
  <c r="AE77" i="1"/>
  <c r="AH77" i="1" s="1"/>
  <c r="AE78" i="1"/>
  <c r="AH78" i="1" s="1"/>
  <c r="AE79" i="1"/>
  <c r="AH79" i="1" s="1"/>
  <c r="AE80" i="1"/>
  <c r="AH80" i="1" s="1"/>
  <c r="AE81" i="1"/>
  <c r="AH81" i="1" s="1"/>
  <c r="AE82" i="1"/>
  <c r="AH82" i="1" s="1"/>
  <c r="AE83" i="1"/>
  <c r="AH83" i="1" s="1"/>
  <c r="AE84" i="1"/>
  <c r="AH84" i="1" s="1"/>
  <c r="AE85" i="1"/>
  <c r="AH85" i="1" s="1"/>
  <c r="AE86" i="1"/>
  <c r="AH86" i="1" s="1"/>
  <c r="AE87" i="1"/>
  <c r="AH87" i="1" s="1"/>
  <c r="AE88" i="1"/>
  <c r="AH88" i="1" s="1"/>
  <c r="AE89" i="1"/>
  <c r="AH89" i="1" s="1"/>
  <c r="AE90" i="1"/>
  <c r="AH90" i="1" s="1"/>
  <c r="AE91" i="1"/>
  <c r="AH91" i="1" s="1"/>
  <c r="AE92" i="1"/>
  <c r="AH92" i="1" s="1"/>
  <c r="AE93" i="1"/>
  <c r="AH93" i="1" s="1"/>
  <c r="AE94" i="1"/>
  <c r="AH94" i="1" s="1"/>
  <c r="AE95" i="1"/>
  <c r="AH95" i="1" s="1"/>
  <c r="AE96" i="1"/>
  <c r="AH96" i="1" s="1"/>
  <c r="AE97" i="1"/>
  <c r="AH97" i="1" s="1"/>
  <c r="AE98" i="1"/>
  <c r="AH98" i="1" s="1"/>
  <c r="AE99" i="1"/>
  <c r="AH99" i="1" s="1"/>
  <c r="AE100" i="1"/>
  <c r="AH100" i="1" s="1"/>
  <c r="AE101" i="1"/>
  <c r="AH101" i="1" s="1"/>
  <c r="AE2" i="1"/>
  <c r="AH2" i="1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AA27" i="1"/>
  <c r="V28" i="1"/>
  <c r="AA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AA43" i="1"/>
  <c r="V44" i="1"/>
  <c r="V45" i="1"/>
  <c r="V46" i="1"/>
  <c r="V47" i="1"/>
  <c r="V48" i="1"/>
  <c r="V49" i="1"/>
  <c r="AA50" i="1"/>
  <c r="V51" i="1"/>
  <c r="V52" i="1"/>
  <c r="V53" i="1"/>
  <c r="V54" i="1"/>
  <c r="V55" i="1"/>
  <c r="V56" i="1"/>
  <c r="V57" i="1"/>
  <c r="V58" i="1"/>
  <c r="AA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AA82" i="1"/>
  <c r="V83" i="1"/>
  <c r="V84" i="1"/>
  <c r="V85" i="1"/>
  <c r="V86" i="1"/>
  <c r="V87" i="1"/>
  <c r="V88" i="1"/>
  <c r="V89" i="1"/>
  <c r="V90" i="1"/>
  <c r="AA91" i="1"/>
  <c r="V92" i="1"/>
  <c r="AA93" i="1"/>
  <c r="V94" i="1"/>
  <c r="V95" i="1"/>
  <c r="V96" i="1"/>
  <c r="V97" i="1"/>
  <c r="AA98" i="1"/>
  <c r="V99" i="1"/>
  <c r="V100" i="1"/>
  <c r="V101" i="1"/>
  <c r="V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2" i="1"/>
  <c r="AB24" i="1" l="1"/>
  <c r="AA52" i="1"/>
  <c r="AA36" i="1"/>
  <c r="AB60" i="1"/>
  <c r="AB44" i="1"/>
  <c r="AC52" i="1"/>
  <c r="AD89" i="1"/>
  <c r="AD40" i="1"/>
  <c r="AD32" i="1"/>
  <c r="AA84" i="1"/>
  <c r="AB56" i="1"/>
  <c r="AD16" i="1"/>
  <c r="Z66" i="1"/>
  <c r="Z34" i="1"/>
  <c r="V91" i="1"/>
  <c r="Z91" i="1" s="1"/>
  <c r="AA7" i="1"/>
  <c r="AB11" i="1"/>
  <c r="V59" i="1"/>
  <c r="Z59" i="1" s="1"/>
  <c r="AB97" i="1"/>
  <c r="AB8" i="1"/>
  <c r="AC100" i="1"/>
  <c r="Z87" i="1"/>
  <c r="Z39" i="1"/>
  <c r="AB88" i="1"/>
  <c r="AC95" i="1"/>
  <c r="AB81" i="1"/>
  <c r="AC84" i="1"/>
  <c r="AA8" i="1"/>
  <c r="AB91" i="1"/>
  <c r="Z71" i="1"/>
  <c r="Z7" i="1"/>
  <c r="AB75" i="1"/>
  <c r="AC79" i="1"/>
  <c r="Z55" i="1"/>
  <c r="Z23" i="1"/>
  <c r="Z48" i="1"/>
  <c r="Z32" i="1"/>
  <c r="AA85" i="1"/>
  <c r="AB72" i="1"/>
  <c r="AC68" i="1"/>
  <c r="AC63" i="1"/>
  <c r="AA72" i="1"/>
  <c r="AB59" i="1"/>
  <c r="AA71" i="1"/>
  <c r="AC45" i="1"/>
  <c r="AB48" i="1"/>
  <c r="AC31" i="1"/>
  <c r="AC15" i="1"/>
  <c r="AA40" i="1"/>
  <c r="AA39" i="1"/>
  <c r="AB40" i="1"/>
  <c r="AC4" i="1"/>
  <c r="AB33" i="1"/>
  <c r="AA24" i="1"/>
  <c r="AB28" i="1"/>
  <c r="AD80" i="1"/>
  <c r="AA101" i="1"/>
  <c r="AA56" i="1"/>
  <c r="AA13" i="1"/>
  <c r="AB65" i="1"/>
  <c r="AB16" i="1"/>
  <c r="AC13" i="1"/>
  <c r="AD57" i="1"/>
  <c r="AD8" i="1"/>
  <c r="AA100" i="1"/>
  <c r="AA55" i="1"/>
  <c r="AA12" i="1"/>
  <c r="AB64" i="1"/>
  <c r="AB12" i="1"/>
  <c r="AC61" i="1"/>
  <c r="AC12" i="1"/>
  <c r="AD56" i="1"/>
  <c r="AD4" i="1"/>
  <c r="AA53" i="1"/>
  <c r="AC60" i="1"/>
  <c r="AD52" i="1"/>
  <c r="AA92" i="1"/>
  <c r="AD100" i="1"/>
  <c r="AD49" i="1"/>
  <c r="AA45" i="1"/>
  <c r="AD48" i="1"/>
  <c r="Z84" i="1"/>
  <c r="Z52" i="1"/>
  <c r="Z20" i="1"/>
  <c r="AA88" i="1"/>
  <c r="AA5" i="1"/>
  <c r="AC48" i="1"/>
  <c r="AD97" i="1"/>
  <c r="AA87" i="1"/>
  <c r="AA44" i="1"/>
  <c r="AA4" i="1"/>
  <c r="AB49" i="1"/>
  <c r="AC96" i="1"/>
  <c r="AC47" i="1"/>
  <c r="AD96" i="1"/>
  <c r="AD41" i="1"/>
  <c r="Z97" i="1"/>
  <c r="Z17" i="1"/>
  <c r="AC44" i="1"/>
  <c r="Z81" i="1"/>
  <c r="Z65" i="1"/>
  <c r="Z49" i="1"/>
  <c r="Z33" i="1"/>
  <c r="AB96" i="1"/>
  <c r="AC93" i="1"/>
  <c r="AD88" i="1"/>
  <c r="AD36" i="1"/>
  <c r="Z96" i="1"/>
  <c r="Z80" i="1"/>
  <c r="Z64" i="1"/>
  <c r="Z16" i="1"/>
  <c r="U60" i="1"/>
  <c r="AA77" i="1"/>
  <c r="AA37" i="1"/>
  <c r="AB92" i="1"/>
  <c r="AB43" i="1"/>
  <c r="AC92" i="1"/>
  <c r="AC36" i="1"/>
  <c r="AD84" i="1"/>
  <c r="AD33" i="1"/>
  <c r="U44" i="1"/>
  <c r="AA76" i="1"/>
  <c r="AC32" i="1"/>
  <c r="AD81" i="1"/>
  <c r="AC80" i="1"/>
  <c r="AD25" i="1"/>
  <c r="AA28" i="1"/>
  <c r="AB32" i="1"/>
  <c r="AC29" i="1"/>
  <c r="AD73" i="1"/>
  <c r="AD24" i="1"/>
  <c r="AB80" i="1"/>
  <c r="AC28" i="1"/>
  <c r="AD20" i="1"/>
  <c r="AA69" i="1"/>
  <c r="AC77" i="1"/>
  <c r="AD72" i="1"/>
  <c r="AA68" i="1"/>
  <c r="AA23" i="1"/>
  <c r="AB76" i="1"/>
  <c r="AB27" i="1"/>
  <c r="AC76" i="1"/>
  <c r="AC20" i="1"/>
  <c r="AD68" i="1"/>
  <c r="AD17" i="1"/>
  <c r="AA61" i="1"/>
  <c r="AA21" i="1"/>
  <c r="AC16" i="1"/>
  <c r="AD65" i="1"/>
  <c r="AA60" i="1"/>
  <c r="AA20" i="1"/>
  <c r="AB17" i="1"/>
  <c r="AC64" i="1"/>
  <c r="AD64" i="1"/>
  <c r="AD9" i="1"/>
  <c r="AD99" i="1"/>
  <c r="AD83" i="1"/>
  <c r="AD67" i="1"/>
  <c r="AD51" i="1"/>
  <c r="AD35" i="1"/>
  <c r="AD19" i="1"/>
  <c r="AD3" i="1"/>
  <c r="Z88" i="1"/>
  <c r="Z72" i="1"/>
  <c r="Z56" i="1"/>
  <c r="Z40" i="1"/>
  <c r="Z24" i="1"/>
  <c r="Z8" i="1"/>
  <c r="U46" i="1"/>
  <c r="AA2" i="1"/>
  <c r="AA86" i="1"/>
  <c r="AA70" i="1"/>
  <c r="AA54" i="1"/>
  <c r="AA38" i="1"/>
  <c r="AA22" i="1"/>
  <c r="AA6" i="1"/>
  <c r="AB90" i="1"/>
  <c r="AB74" i="1"/>
  <c r="AB58" i="1"/>
  <c r="AB42" i="1"/>
  <c r="AB26" i="1"/>
  <c r="AB10" i="1"/>
  <c r="AC94" i="1"/>
  <c r="AC78" i="1"/>
  <c r="AC62" i="1"/>
  <c r="AC46" i="1"/>
  <c r="AC30" i="1"/>
  <c r="AC14" i="1"/>
  <c r="AD98" i="1"/>
  <c r="AD82" i="1"/>
  <c r="AD66" i="1"/>
  <c r="AD50" i="1"/>
  <c r="AD34" i="1"/>
  <c r="AD18" i="1"/>
  <c r="Z63" i="1"/>
  <c r="Z47" i="1"/>
  <c r="Z31" i="1"/>
  <c r="Z15" i="1"/>
  <c r="V82" i="1"/>
  <c r="Z82" i="1" s="1"/>
  <c r="AB89" i="1"/>
  <c r="AB73" i="1"/>
  <c r="AB57" i="1"/>
  <c r="AB41" i="1"/>
  <c r="AB25" i="1"/>
  <c r="AB9" i="1"/>
  <c r="V98" i="1"/>
  <c r="Z98" i="1" s="1"/>
  <c r="Z78" i="1"/>
  <c r="U62" i="1"/>
  <c r="Z14" i="1"/>
  <c r="U93" i="1"/>
  <c r="Z77" i="1"/>
  <c r="Z61" i="1"/>
  <c r="Z45" i="1"/>
  <c r="U29" i="1"/>
  <c r="Z13" i="1"/>
  <c r="U28" i="1"/>
  <c r="AA99" i="1"/>
  <c r="AA83" i="1"/>
  <c r="AA67" i="1"/>
  <c r="AA51" i="1"/>
  <c r="AA35" i="1"/>
  <c r="AA19" i="1"/>
  <c r="AA3" i="1"/>
  <c r="AB87" i="1"/>
  <c r="AB71" i="1"/>
  <c r="AB55" i="1"/>
  <c r="AB39" i="1"/>
  <c r="AB23" i="1"/>
  <c r="AB7" i="1"/>
  <c r="AC91" i="1"/>
  <c r="AC75" i="1"/>
  <c r="AC59" i="1"/>
  <c r="AC43" i="1"/>
  <c r="AC27" i="1"/>
  <c r="AC11" i="1"/>
  <c r="AD95" i="1"/>
  <c r="AD79" i="1"/>
  <c r="AD63" i="1"/>
  <c r="AD47" i="1"/>
  <c r="AD31" i="1"/>
  <c r="AD15" i="1"/>
  <c r="Z18" i="1"/>
  <c r="Z94" i="1"/>
  <c r="Z92" i="1"/>
  <c r="Z76" i="1"/>
  <c r="Z60" i="1"/>
  <c r="Z44" i="1"/>
  <c r="Z28" i="1"/>
  <c r="Z12" i="1"/>
  <c r="V50" i="1"/>
  <c r="Z50" i="1" s="1"/>
  <c r="U14" i="1"/>
  <c r="AA66" i="1"/>
  <c r="AA34" i="1"/>
  <c r="AA18" i="1"/>
  <c r="AB2" i="1"/>
  <c r="AB86" i="1"/>
  <c r="AB70" i="1"/>
  <c r="AB54" i="1"/>
  <c r="AB38" i="1"/>
  <c r="AB22" i="1"/>
  <c r="AB6" i="1"/>
  <c r="AC90" i="1"/>
  <c r="AC74" i="1"/>
  <c r="AC58" i="1"/>
  <c r="AC42" i="1"/>
  <c r="AC26" i="1"/>
  <c r="AC10" i="1"/>
  <c r="AD94" i="1"/>
  <c r="AD78" i="1"/>
  <c r="AD62" i="1"/>
  <c r="AD46" i="1"/>
  <c r="AD30" i="1"/>
  <c r="AD14" i="1"/>
  <c r="Z30" i="1"/>
  <c r="Z75" i="1"/>
  <c r="Z11" i="1"/>
  <c r="V43" i="1"/>
  <c r="Z43" i="1" s="1"/>
  <c r="U12" i="1"/>
  <c r="AA97" i="1"/>
  <c r="AA81" i="1"/>
  <c r="AA65" i="1"/>
  <c r="AA49" i="1"/>
  <c r="AA33" i="1"/>
  <c r="AA17" i="1"/>
  <c r="AB101" i="1"/>
  <c r="AB85" i="1"/>
  <c r="AB69" i="1"/>
  <c r="AB53" i="1"/>
  <c r="AB37" i="1"/>
  <c r="AB21" i="1"/>
  <c r="AB5" i="1"/>
  <c r="AC89" i="1"/>
  <c r="AC73" i="1"/>
  <c r="AC57" i="1"/>
  <c r="AC41" i="1"/>
  <c r="AC25" i="1"/>
  <c r="AC9" i="1"/>
  <c r="AD93" i="1"/>
  <c r="AD77" i="1"/>
  <c r="AD61" i="1"/>
  <c r="AD45" i="1"/>
  <c r="AD29" i="1"/>
  <c r="AD13" i="1"/>
  <c r="Z90" i="1"/>
  <c r="Z74" i="1"/>
  <c r="Z58" i="1"/>
  <c r="Z42" i="1"/>
  <c r="Z26" i="1"/>
  <c r="Z10" i="1"/>
  <c r="AA96" i="1"/>
  <c r="AA80" i="1"/>
  <c r="AA64" i="1"/>
  <c r="AA48" i="1"/>
  <c r="AA32" i="1"/>
  <c r="AA16" i="1"/>
  <c r="AB100" i="1"/>
  <c r="AB84" i="1"/>
  <c r="AB68" i="1"/>
  <c r="AB52" i="1"/>
  <c r="AB36" i="1"/>
  <c r="AB20" i="1"/>
  <c r="AB4" i="1"/>
  <c r="AC88" i="1"/>
  <c r="AC72" i="1"/>
  <c r="AC56" i="1"/>
  <c r="AC40" i="1"/>
  <c r="AC24" i="1"/>
  <c r="AC8" i="1"/>
  <c r="AD92" i="1"/>
  <c r="AD76" i="1"/>
  <c r="AD60" i="1"/>
  <c r="AD44" i="1"/>
  <c r="AD28" i="1"/>
  <c r="AD12" i="1"/>
  <c r="Z95" i="1"/>
  <c r="Z62" i="1"/>
  <c r="U30" i="1"/>
  <c r="Z89" i="1"/>
  <c r="Z73" i="1"/>
  <c r="Z57" i="1"/>
  <c r="Z41" i="1"/>
  <c r="Z25" i="1"/>
  <c r="Z9" i="1"/>
  <c r="V27" i="1"/>
  <c r="Z27" i="1" s="1"/>
  <c r="AA95" i="1"/>
  <c r="AA79" i="1"/>
  <c r="AA63" i="1"/>
  <c r="AA47" i="1"/>
  <c r="AA31" i="1"/>
  <c r="AA15" i="1"/>
  <c r="AB99" i="1"/>
  <c r="AB83" i="1"/>
  <c r="AB67" i="1"/>
  <c r="AB51" i="1"/>
  <c r="AB35" i="1"/>
  <c r="AB19" i="1"/>
  <c r="AB3" i="1"/>
  <c r="AC87" i="1"/>
  <c r="AC71" i="1"/>
  <c r="AC55" i="1"/>
  <c r="AC39" i="1"/>
  <c r="AC23" i="1"/>
  <c r="AC7" i="1"/>
  <c r="AD91" i="1"/>
  <c r="AD75" i="1"/>
  <c r="AD59" i="1"/>
  <c r="AD43" i="1"/>
  <c r="AD27" i="1"/>
  <c r="AD11" i="1"/>
  <c r="Z79" i="1"/>
  <c r="Z46" i="1"/>
  <c r="AA94" i="1"/>
  <c r="AA78" i="1"/>
  <c r="AA62" i="1"/>
  <c r="AA46" i="1"/>
  <c r="AA30" i="1"/>
  <c r="AA14" i="1"/>
  <c r="AB98" i="1"/>
  <c r="AB82" i="1"/>
  <c r="AB66" i="1"/>
  <c r="AB50" i="1"/>
  <c r="AB34" i="1"/>
  <c r="AB18" i="1"/>
  <c r="AC2" i="1"/>
  <c r="AC86" i="1"/>
  <c r="AC70" i="1"/>
  <c r="AC54" i="1"/>
  <c r="AC38" i="1"/>
  <c r="AC22" i="1"/>
  <c r="AC6" i="1"/>
  <c r="AD90" i="1"/>
  <c r="AD74" i="1"/>
  <c r="AD58" i="1"/>
  <c r="AD42" i="1"/>
  <c r="AD26" i="1"/>
  <c r="AD10" i="1"/>
  <c r="AC101" i="1"/>
  <c r="AC85" i="1"/>
  <c r="AC69" i="1"/>
  <c r="AC53" i="1"/>
  <c r="AC37" i="1"/>
  <c r="AC21" i="1"/>
  <c r="AC5" i="1"/>
  <c r="Z70" i="1"/>
  <c r="U94" i="1"/>
  <c r="Z2" i="1"/>
  <c r="Z38" i="1"/>
  <c r="Z101" i="1"/>
  <c r="Z85" i="1"/>
  <c r="Z69" i="1"/>
  <c r="Z53" i="1"/>
  <c r="Z37" i="1"/>
  <c r="Z21" i="1"/>
  <c r="Z5" i="1"/>
  <c r="U92" i="1"/>
  <c r="AA75" i="1"/>
  <c r="AA11" i="1"/>
  <c r="AB95" i="1"/>
  <c r="AB79" i="1"/>
  <c r="AB63" i="1"/>
  <c r="AB47" i="1"/>
  <c r="AB31" i="1"/>
  <c r="AB15" i="1"/>
  <c r="AC99" i="1"/>
  <c r="AC83" i="1"/>
  <c r="AC67" i="1"/>
  <c r="AC51" i="1"/>
  <c r="AC35" i="1"/>
  <c r="AC19" i="1"/>
  <c r="AC3" i="1"/>
  <c r="AD87" i="1"/>
  <c r="AD71" i="1"/>
  <c r="AD55" i="1"/>
  <c r="AD39" i="1"/>
  <c r="AD23" i="1"/>
  <c r="AD7" i="1"/>
  <c r="Z86" i="1"/>
  <c r="Z22" i="1"/>
  <c r="Z100" i="1"/>
  <c r="Z68" i="1"/>
  <c r="Z36" i="1"/>
  <c r="Z4" i="1"/>
  <c r="U78" i="1"/>
  <c r="AA90" i="1"/>
  <c r="AA74" i="1"/>
  <c r="AA58" i="1"/>
  <c r="AA42" i="1"/>
  <c r="AA26" i="1"/>
  <c r="AA10" i="1"/>
  <c r="AB94" i="1"/>
  <c r="AB78" i="1"/>
  <c r="AB62" i="1"/>
  <c r="AB46" i="1"/>
  <c r="AB30" i="1"/>
  <c r="AB14" i="1"/>
  <c r="AC98" i="1"/>
  <c r="AC82" i="1"/>
  <c r="AC66" i="1"/>
  <c r="AC50" i="1"/>
  <c r="AC34" i="1"/>
  <c r="AC18" i="1"/>
  <c r="AD86" i="1"/>
  <c r="AD70" i="1"/>
  <c r="AD54" i="1"/>
  <c r="AD38" i="1"/>
  <c r="AD22" i="1"/>
  <c r="AD6" i="1"/>
  <c r="Z54" i="1"/>
  <c r="Z6" i="1"/>
  <c r="Z99" i="1"/>
  <c r="Z83" i="1"/>
  <c r="Z67" i="1"/>
  <c r="Z51" i="1"/>
  <c r="Z35" i="1"/>
  <c r="Z19" i="1"/>
  <c r="Z3" i="1"/>
  <c r="U76" i="1"/>
  <c r="AA89" i="1"/>
  <c r="AA73" i="1"/>
  <c r="AA57" i="1"/>
  <c r="AA41" i="1"/>
  <c r="AA25" i="1"/>
  <c r="AA9" i="1"/>
  <c r="AB93" i="1"/>
  <c r="AB77" i="1"/>
  <c r="AB61" i="1"/>
  <c r="AB45" i="1"/>
  <c r="AB29" i="1"/>
  <c r="AB13" i="1"/>
  <c r="AC97" i="1"/>
  <c r="AC81" i="1"/>
  <c r="AC65" i="1"/>
  <c r="AC49" i="1"/>
  <c r="AC33" i="1"/>
  <c r="AC17" i="1"/>
  <c r="AD101" i="1"/>
  <c r="AD85" i="1"/>
  <c r="AD69" i="1"/>
  <c r="AD53" i="1"/>
  <c r="AD37" i="1"/>
  <c r="AD21" i="1"/>
  <c r="AD5" i="1"/>
  <c r="V93" i="1"/>
  <c r="Z93" i="1" s="1"/>
  <c r="V29" i="1"/>
  <c r="Z29" i="1" s="1"/>
  <c r="U77" i="1"/>
  <c r="U61" i="1"/>
  <c r="U45" i="1"/>
  <c r="U13" i="1"/>
  <c r="U91" i="1"/>
  <c r="U75" i="1"/>
  <c r="U59" i="1"/>
  <c r="U43" i="1"/>
  <c r="U27" i="1"/>
  <c r="U11" i="1"/>
  <c r="U90" i="1"/>
  <c r="U74" i="1"/>
  <c r="U58" i="1"/>
  <c r="U42" i="1"/>
  <c r="U26" i="1"/>
  <c r="U10" i="1"/>
  <c r="U89" i="1"/>
  <c r="U57" i="1"/>
  <c r="U9" i="1"/>
  <c r="U73" i="1"/>
  <c r="U88" i="1"/>
  <c r="U72" i="1"/>
  <c r="U56" i="1"/>
  <c r="U40" i="1"/>
  <c r="U24" i="1"/>
  <c r="U8" i="1"/>
  <c r="U41" i="1"/>
  <c r="U87" i="1"/>
  <c r="U71" i="1"/>
  <c r="U55" i="1"/>
  <c r="U39" i="1"/>
  <c r="U23" i="1"/>
  <c r="U7" i="1"/>
  <c r="U2" i="1"/>
  <c r="U86" i="1"/>
  <c r="U70" i="1"/>
  <c r="U54" i="1"/>
  <c r="U38" i="1"/>
  <c r="U22" i="1"/>
  <c r="U6" i="1"/>
  <c r="U25" i="1"/>
  <c r="U101" i="1"/>
  <c r="U85" i="1"/>
  <c r="U69" i="1"/>
  <c r="U53" i="1"/>
  <c r="U37" i="1"/>
  <c r="U21" i="1"/>
  <c r="U5" i="1"/>
  <c r="U100" i="1"/>
  <c r="U84" i="1"/>
  <c r="U68" i="1"/>
  <c r="U52" i="1"/>
  <c r="U36" i="1"/>
  <c r="U20" i="1"/>
  <c r="U4" i="1"/>
  <c r="U83" i="1"/>
  <c r="U98" i="1"/>
  <c r="U82" i="1"/>
  <c r="U66" i="1"/>
  <c r="U50" i="1"/>
  <c r="U34" i="1"/>
  <c r="U18" i="1"/>
  <c r="U99" i="1"/>
  <c r="U67" i="1"/>
  <c r="U51" i="1"/>
  <c r="U35" i="1"/>
  <c r="U19" i="1"/>
  <c r="U3" i="1"/>
  <c r="U97" i="1"/>
  <c r="U81" i="1"/>
  <c r="U65" i="1"/>
  <c r="U49" i="1"/>
  <c r="U33" i="1"/>
  <c r="U17" i="1"/>
  <c r="U80" i="1"/>
  <c r="U48" i="1"/>
  <c r="U16" i="1"/>
  <c r="U96" i="1"/>
  <c r="U64" i="1"/>
  <c r="U32" i="1"/>
  <c r="U95" i="1"/>
  <c r="U79" i="1"/>
  <c r="U63" i="1"/>
  <c r="U47" i="1"/>
  <c r="U31" i="1"/>
  <c r="U15" i="1"/>
</calcChain>
</file>

<file path=xl/sharedStrings.xml><?xml version="1.0" encoding="utf-8"?>
<sst xmlns="http://schemas.openxmlformats.org/spreadsheetml/2006/main" count="571" uniqueCount="311">
  <si>
    <t>id_barrio</t>
  </si>
  <si>
    <t>cod_distrito</t>
  </si>
  <si>
    <t>nombre_distrito</t>
  </si>
  <si>
    <t>nombre_barrio</t>
  </si>
  <si>
    <t>lat_c</t>
  </si>
  <si>
    <t>lon_c</t>
  </si>
  <si>
    <t>renta_media_persona</t>
  </si>
  <si>
    <t>distancia_centro_km</t>
  </si>
  <si>
    <t>crec_demografico_pct</t>
  </si>
  <si>
    <t>01011</t>
  </si>
  <si>
    <t>01</t>
  </si>
  <si>
    <t>Centro</t>
  </si>
  <si>
    <t>Palacio</t>
  </si>
  <si>
    <t>01012</t>
  </si>
  <si>
    <t>Embajadores</t>
  </si>
  <si>
    <t>01013</t>
  </si>
  <si>
    <t>Cortes</t>
  </si>
  <si>
    <t>01014</t>
  </si>
  <si>
    <t>Justicia</t>
  </si>
  <si>
    <t>01015</t>
  </si>
  <si>
    <t>Universidad</t>
  </si>
  <si>
    <t>01016</t>
  </si>
  <si>
    <t>Sol</t>
  </si>
  <si>
    <t>02021</t>
  </si>
  <si>
    <t>02</t>
  </si>
  <si>
    <t>Arganzuela</t>
  </si>
  <si>
    <t>Imperial</t>
  </si>
  <si>
    <t>02022</t>
  </si>
  <si>
    <t>Acacias</t>
  </si>
  <si>
    <t>02023</t>
  </si>
  <si>
    <t>Chopera</t>
  </si>
  <si>
    <t>02024</t>
  </si>
  <si>
    <t>Legazpi</t>
  </si>
  <si>
    <t>02025</t>
  </si>
  <si>
    <t>Delicias</t>
  </si>
  <si>
    <t>02026</t>
  </si>
  <si>
    <t>Palos de la Frontera</t>
  </si>
  <si>
    <t>03031</t>
  </si>
  <si>
    <t>03</t>
  </si>
  <si>
    <t>Retiro</t>
  </si>
  <si>
    <t>Pacífico</t>
  </si>
  <si>
    <t>03032</t>
  </si>
  <si>
    <t>Adelfas</t>
  </si>
  <si>
    <t>03033</t>
  </si>
  <si>
    <t>Estrella</t>
  </si>
  <si>
    <t>03034</t>
  </si>
  <si>
    <t>Ibiza</t>
  </si>
  <si>
    <t>03035</t>
  </si>
  <si>
    <t>Los Jerónimos</t>
  </si>
  <si>
    <t>03036</t>
  </si>
  <si>
    <t>Niño Jesús</t>
  </si>
  <si>
    <t>04041</t>
  </si>
  <si>
    <t>04</t>
  </si>
  <si>
    <t>Salamanca</t>
  </si>
  <si>
    <t>Recoletos</t>
  </si>
  <si>
    <t>04042</t>
  </si>
  <si>
    <t>Goya</t>
  </si>
  <si>
    <t>04043</t>
  </si>
  <si>
    <t>Fuente del Berro</t>
  </si>
  <si>
    <t>04044</t>
  </si>
  <si>
    <t>Guindalera</t>
  </si>
  <si>
    <t>04045</t>
  </si>
  <si>
    <t>Lista</t>
  </si>
  <si>
    <t>04046</t>
  </si>
  <si>
    <t>Castellana</t>
  </si>
  <si>
    <t>05051</t>
  </si>
  <si>
    <t>05</t>
  </si>
  <si>
    <t>Chamartín</t>
  </si>
  <si>
    <t>El Viso</t>
  </si>
  <si>
    <t>05052</t>
  </si>
  <si>
    <t>Prosperidad</t>
  </si>
  <si>
    <t>05053</t>
  </si>
  <si>
    <t>Ciudad Jardín</t>
  </si>
  <si>
    <t>05054</t>
  </si>
  <si>
    <t>Hispanoamérica</t>
  </si>
  <si>
    <t>05055</t>
  </si>
  <si>
    <t>Nueva España</t>
  </si>
  <si>
    <t>05056</t>
  </si>
  <si>
    <t>Castilla</t>
  </si>
  <si>
    <t>06061</t>
  </si>
  <si>
    <t>06</t>
  </si>
  <si>
    <t>Tetuán</t>
  </si>
  <si>
    <t>Bellas Vistas</t>
  </si>
  <si>
    <t>06062</t>
  </si>
  <si>
    <t>Cuatro Caminos</t>
  </si>
  <si>
    <t>06063</t>
  </si>
  <si>
    <t>Castillejos</t>
  </si>
  <si>
    <t>06064</t>
  </si>
  <si>
    <t>Almenara</t>
  </si>
  <si>
    <t>06065</t>
  </si>
  <si>
    <t>Valdeacederas</t>
  </si>
  <si>
    <t>06066</t>
  </si>
  <si>
    <t>Berruguete</t>
  </si>
  <si>
    <t>07071</t>
  </si>
  <si>
    <t>07</t>
  </si>
  <si>
    <t>Chamberí</t>
  </si>
  <si>
    <t>Gaztambide</t>
  </si>
  <si>
    <t>07072</t>
  </si>
  <si>
    <t>Arapiles</t>
  </si>
  <si>
    <t>07073</t>
  </si>
  <si>
    <t>Trafalgar</t>
  </si>
  <si>
    <t>07074</t>
  </si>
  <si>
    <t>Almagro</t>
  </si>
  <si>
    <t>07075</t>
  </si>
  <si>
    <t>Ríos Rosas</t>
  </si>
  <si>
    <t>07076</t>
  </si>
  <si>
    <t>Vallehermoso</t>
  </si>
  <si>
    <t>08083</t>
  </si>
  <si>
    <t>08</t>
  </si>
  <si>
    <t>Fuencarral - El Pardo</t>
  </si>
  <si>
    <t>Peñagrande</t>
  </si>
  <si>
    <t>08084</t>
  </si>
  <si>
    <t>Pilar</t>
  </si>
  <si>
    <t>08085</t>
  </si>
  <si>
    <t>La Paz</t>
  </si>
  <si>
    <t>08086</t>
  </si>
  <si>
    <t>Valverde</t>
  </si>
  <si>
    <t>08087</t>
  </si>
  <si>
    <t>Mirasierra</t>
  </si>
  <si>
    <t>08088</t>
  </si>
  <si>
    <t>El Goloso</t>
  </si>
  <si>
    <t>09091</t>
  </si>
  <si>
    <t>09</t>
  </si>
  <si>
    <t>Moncloa - Aravaca</t>
  </si>
  <si>
    <t>Casa de Campo</t>
  </si>
  <si>
    <t>09092</t>
  </si>
  <si>
    <t>Argüelles</t>
  </si>
  <si>
    <t>09093</t>
  </si>
  <si>
    <t>Ciudad Universitaria</t>
  </si>
  <si>
    <t>09094</t>
  </si>
  <si>
    <t>Valdezarza</t>
  </si>
  <si>
    <t>09095</t>
  </si>
  <si>
    <t>Valdemarín</t>
  </si>
  <si>
    <t>09097</t>
  </si>
  <si>
    <t>Aravaca</t>
  </si>
  <si>
    <t>10101</t>
  </si>
  <si>
    <t>10</t>
  </si>
  <si>
    <t>Latina</t>
  </si>
  <si>
    <t>Los Cármenes</t>
  </si>
  <si>
    <t>10102</t>
  </si>
  <si>
    <t>Puerta del Ángel</t>
  </si>
  <si>
    <t>10103</t>
  </si>
  <si>
    <t>Lucero</t>
  </si>
  <si>
    <t>10104</t>
  </si>
  <si>
    <t>Aluche</t>
  </si>
  <si>
    <t>10107</t>
  </si>
  <si>
    <t>Águilas</t>
  </si>
  <si>
    <t>11111</t>
  </si>
  <si>
    <t>11</t>
  </si>
  <si>
    <t>Carabanchel</t>
  </si>
  <si>
    <t>Comillas</t>
  </si>
  <si>
    <t>11112</t>
  </si>
  <si>
    <t>Opañel</t>
  </si>
  <si>
    <t>11113</t>
  </si>
  <si>
    <t>San Isidro</t>
  </si>
  <si>
    <t>11114</t>
  </si>
  <si>
    <t>Vista Alegre</t>
  </si>
  <si>
    <t>11115</t>
  </si>
  <si>
    <t>Puerta Bonita</t>
  </si>
  <si>
    <t>11116</t>
  </si>
  <si>
    <t>Buenavista</t>
  </si>
  <si>
    <t>12124</t>
  </si>
  <si>
    <t>12</t>
  </si>
  <si>
    <t>Usera</t>
  </si>
  <si>
    <t>Almendrales</t>
  </si>
  <si>
    <t>12125</t>
  </si>
  <si>
    <t>Moscardó</t>
  </si>
  <si>
    <t>12127</t>
  </si>
  <si>
    <t>Pradolongo</t>
  </si>
  <si>
    <t>13132</t>
  </si>
  <si>
    <t>13</t>
  </si>
  <si>
    <t>Puente de Vallecas</t>
  </si>
  <si>
    <t>San Diego</t>
  </si>
  <si>
    <t>13133</t>
  </si>
  <si>
    <t>Palomeras Bajas</t>
  </si>
  <si>
    <t>13134</t>
  </si>
  <si>
    <t>Palomeras Sureste</t>
  </si>
  <si>
    <t>13136</t>
  </si>
  <si>
    <t>Numancia</t>
  </si>
  <si>
    <t>14143</t>
  </si>
  <si>
    <t>14</t>
  </si>
  <si>
    <t>Moratalaz</t>
  </si>
  <si>
    <t>Marroquina</t>
  </si>
  <si>
    <t>15151</t>
  </si>
  <si>
    <t>15</t>
  </si>
  <si>
    <t>Ciudad Lineal</t>
  </si>
  <si>
    <t>Ventas</t>
  </si>
  <si>
    <t>15152</t>
  </si>
  <si>
    <t>Pueblo Nuevo</t>
  </si>
  <si>
    <t>15153</t>
  </si>
  <si>
    <t>Quintana</t>
  </si>
  <si>
    <t>15154</t>
  </si>
  <si>
    <t>La Concepción</t>
  </si>
  <si>
    <t>15155</t>
  </si>
  <si>
    <t>San Pascual</t>
  </si>
  <si>
    <t>15156</t>
  </si>
  <si>
    <t>San Juan Bautista</t>
  </si>
  <si>
    <t>15157</t>
  </si>
  <si>
    <t>Colina</t>
  </si>
  <si>
    <t>15159</t>
  </si>
  <si>
    <t>Costillares</t>
  </si>
  <si>
    <t>16161</t>
  </si>
  <si>
    <t>16</t>
  </si>
  <si>
    <t>Hortaleza</t>
  </si>
  <si>
    <t>Palomas</t>
  </si>
  <si>
    <t>16162</t>
  </si>
  <si>
    <t>Piovera</t>
  </si>
  <si>
    <t>16163</t>
  </si>
  <si>
    <t>Canillas</t>
  </si>
  <si>
    <t>16164</t>
  </si>
  <si>
    <t>Pinar del Rey</t>
  </si>
  <si>
    <t>16166</t>
  </si>
  <si>
    <t>Valdefuentes</t>
  </si>
  <si>
    <t>17171</t>
  </si>
  <si>
    <t>17</t>
  </si>
  <si>
    <t>Villaverde</t>
  </si>
  <si>
    <t>Villaverde Alto - Casco Histórico de Villaverde</t>
  </si>
  <si>
    <t>17173</t>
  </si>
  <si>
    <t>Butarque</t>
  </si>
  <si>
    <t>17174</t>
  </si>
  <si>
    <t>Los Rosales</t>
  </si>
  <si>
    <t>18181</t>
  </si>
  <si>
    <t>18</t>
  </si>
  <si>
    <t>Villa de Vallecas</t>
  </si>
  <si>
    <t>Casco Histórico de Vallecas</t>
  </si>
  <si>
    <t>18183</t>
  </si>
  <si>
    <t>Ensanche de Vallecas</t>
  </si>
  <si>
    <t>19191</t>
  </si>
  <si>
    <t>19</t>
  </si>
  <si>
    <t>Vicálvaro</t>
  </si>
  <si>
    <t>Casco Histórico de Vicálvaro</t>
  </si>
  <si>
    <t>19194</t>
  </si>
  <si>
    <t>El Cañaveral</t>
  </si>
  <si>
    <t>20201</t>
  </si>
  <si>
    <t>20</t>
  </si>
  <si>
    <t>San Blas - Canillejas</t>
  </si>
  <si>
    <t>Simancas</t>
  </si>
  <si>
    <t>20205</t>
  </si>
  <si>
    <t>Rosas</t>
  </si>
  <si>
    <t>20206</t>
  </si>
  <si>
    <t>Rejas</t>
  </si>
  <si>
    <t>20207</t>
  </si>
  <si>
    <t>Canillejas</t>
  </si>
  <si>
    <t>20208</t>
  </si>
  <si>
    <t>El Salvador</t>
  </si>
  <si>
    <t>21211</t>
  </si>
  <si>
    <t>21</t>
  </si>
  <si>
    <t>Barajas</t>
  </si>
  <si>
    <t>Alameda de Osuna</t>
  </si>
  <si>
    <t>21214</t>
  </si>
  <si>
    <t>Timón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</si>
  <si>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</si>
  <si>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</si>
  <si>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</si>
  <si>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</si>
  <si>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</si>
  <si>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</si>
  <si>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</si>
  <si>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</si>
  <si>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</si>
  <si>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</si>
  <si>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</si>
  <si>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</si>
  <si>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</si>
  <si>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</si>
  <si>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</si>
  <si>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</si>
  <si>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</si>
  <si>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</si>
  <si>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</si>
  <si>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</si>
  <si>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</si>
  <si>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</si>
  <si>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</si>
  <si>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</si>
  <si>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aporte_renta_eur_m2</t>
  </si>
  <si>
    <t>aporte_distancia_eur_m2</t>
  </si>
  <si>
    <t>aporte_crecimiento_eur_m2</t>
  </si>
  <si>
    <t>efecto_distancia_m2</t>
  </si>
  <si>
    <t>efecto_renta_m2</t>
  </si>
  <si>
    <t>efecto_crecimiento_m2</t>
  </si>
  <si>
    <t>aporte_airbnb_eur_m2</t>
  </si>
  <si>
    <t>aporte_total_eur_m2</t>
  </si>
  <si>
    <t>efecto_total_eur_m2</t>
  </si>
  <si>
    <t>m2_vivienda</t>
  </si>
  <si>
    <t>precio_m2_vivienda</t>
  </si>
  <si>
    <t>alquiler_mes</t>
  </si>
  <si>
    <t>pct_airbnb</t>
  </si>
  <si>
    <t>pct_distancia</t>
  </si>
  <si>
    <t>pct_renta</t>
  </si>
  <si>
    <t>pct_crecimiento</t>
  </si>
  <si>
    <t>renta_media_hogar</t>
  </si>
  <si>
    <t>alquiler_50m2</t>
  </si>
  <si>
    <t>alquiler_70m2</t>
  </si>
  <si>
    <t>alquiler_100m2</t>
  </si>
  <si>
    <t>esfuerzo_hogar_50m2</t>
  </si>
  <si>
    <t>esfuerzo_hogar_70m2</t>
  </si>
  <si>
    <t>esfuerzo_hogar_100m2</t>
  </si>
  <si>
    <t>Cluster</t>
  </si>
  <si>
    <t>tipo_cluster</t>
  </si>
  <si>
    <t>Centro turístico</t>
  </si>
  <si>
    <t>Residencial caro</t>
  </si>
  <si>
    <t>Residencial asequible</t>
  </si>
  <si>
    <t>n_viviendas</t>
  </si>
  <si>
    <t>n_anuncios_total</t>
  </si>
  <si>
    <t>densidad_anuncios</t>
  </si>
  <si>
    <t>Promedio_anuncio</t>
  </si>
  <si>
    <t>Promedio_distancia</t>
  </si>
  <si>
    <t>Promedio_renta</t>
  </si>
  <si>
    <t>Promedio_Poblacion</t>
  </si>
  <si>
    <t>efecto_airbnb_eur_mes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</si>
</sst>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3" fontId="6" fillId="0" borderId="4" xfId="0" applyNumberFormat="1" applyFont="1" applyBorder="1" applyAlignment="1">
      <alignment horizontal="center" wrapText="1"/>
    </xf>
    <xf numFmtId="9" fontId="0" fillId="0" borderId="0" xfId="1" applyFont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/>
    <xf numFmtId="165" fontId="3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1"/>
  <sheetViews>
    <sheetView tabSelected="1" topLeftCell="V1" workbookViewId="0">
      <selection activeCell="W1" sqref="W1"/>
    </sheetView>
  </sheetViews>
  <sheetFormatPr baseColWidth="10" defaultColWidth="9.140625" defaultRowHeight="15" x14ac:dyDescent="0.25"/>
  <cols>
    <col min="1" max="1" width="9" style="4" bestFit="1" customWidth="1"/>
    <col min="2" max="2" width="11.5703125" style="4" bestFit="1" customWidth="1"/>
    <col min="3" max="3" width="19.140625" style="4" bestFit="1" customWidth="1"/>
    <col min="4" max="4" width="42.28515625" style="4" bestFit="1" customWidth="1"/>
    <col min="5" max="5" width="18.42578125" style="4" bestFit="1" customWidth="1"/>
    <col min="6" max="6" width="11.42578125" style="4"/>
    <col min="7" max="7" width="10" style="4" bestFit="1" customWidth="1"/>
    <col min="8" max="8" width="9.7109375" style="4" bestFit="1" customWidth="1"/>
    <col min="9" max="9" width="12.28515625" style="4" bestFit="1" customWidth="1"/>
    <col min="10" max="10" width="19" style="4" bestFit="1" customWidth="1"/>
    <col min="11" max="11" width="19" style="4" customWidth="1"/>
    <col min="12" max="12" width="20.5703125" customWidth="1"/>
    <col min="13" max="13" width="20.5703125" style="4" customWidth="1"/>
    <col min="14" max="14" width="20.5703125" style="4" bestFit="1" customWidth="1"/>
    <col min="15" max="15" width="19.42578125" style="4" bestFit="1" customWidth="1"/>
    <col min="16" max="16" width="20.5703125" style="3" bestFit="1" customWidth="1"/>
    <col min="17" max="17" width="20.5703125" style="19" customWidth="1"/>
    <col min="18" max="19" width="23.7109375" style="19" bestFit="1" customWidth="1"/>
    <col min="20" max="20" width="26.5703125" style="19" bestFit="1" customWidth="1"/>
    <col min="21" max="22" width="26.5703125" style="19" customWidth="1"/>
    <col min="23" max="24" width="19.42578125" style="19" bestFit="1" customWidth="1"/>
    <col min="25" max="25" width="22.28515625" style="19" bestFit="1" customWidth="1"/>
    <col min="26" max="26" width="19.7109375" style="19" bestFit="1" customWidth="1"/>
    <col min="27" max="27" width="10.42578125" style="4" bestFit="1" customWidth="1"/>
    <col min="28" max="28" width="12.5703125" style="4" bestFit="1" customWidth="1"/>
    <col min="29" max="29" width="9.42578125" style="4" bestFit="1" customWidth="1"/>
    <col min="30" max="30" width="15.28515625" style="4" bestFit="1" customWidth="1"/>
    <col min="31" max="31" width="18.28515625" style="19" bestFit="1" customWidth="1"/>
    <col min="32" max="32" width="13.5703125" style="19" bestFit="1" customWidth="1"/>
    <col min="33" max="33" width="14.5703125" style="19" bestFit="1" customWidth="1"/>
    <col min="34" max="35" width="20.5703125" style="4" bestFit="1" customWidth="1"/>
    <col min="36" max="36" width="21.7109375" style="4" bestFit="1" customWidth="1"/>
    <col min="37" max="37" width="7.28515625" style="4" bestFit="1" customWidth="1"/>
    <col min="38" max="38" width="20.42578125" style="4" bestFit="1" customWidth="1"/>
    <col min="39" max="16384" width="9.140625" style="4"/>
  </cols>
  <sheetData>
    <row r="1" spans="1:3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304</v>
      </c>
      <c r="F1" s="10" t="s">
        <v>303</v>
      </c>
      <c r="G1" s="1" t="s">
        <v>4</v>
      </c>
      <c r="H1" s="1" t="s">
        <v>5</v>
      </c>
      <c r="I1" s="11" t="s">
        <v>284</v>
      </c>
      <c r="J1" s="11" t="s">
        <v>285</v>
      </c>
      <c r="K1" s="11" t="s">
        <v>286</v>
      </c>
      <c r="L1" s="11" t="s">
        <v>291</v>
      </c>
      <c r="M1" s="11" t="s">
        <v>305</v>
      </c>
      <c r="N1" s="1" t="s">
        <v>6</v>
      </c>
      <c r="O1" s="1" t="s">
        <v>7</v>
      </c>
      <c r="P1" s="2" t="s">
        <v>8</v>
      </c>
      <c r="Q1" s="18" t="s">
        <v>281</v>
      </c>
      <c r="R1" s="18" t="s">
        <v>276</v>
      </c>
      <c r="S1" s="18" t="s">
        <v>275</v>
      </c>
      <c r="T1" s="18" t="s">
        <v>277</v>
      </c>
      <c r="U1" s="18" t="s">
        <v>282</v>
      </c>
      <c r="V1" s="18" t="s">
        <v>310</v>
      </c>
      <c r="W1" s="18" t="s">
        <v>278</v>
      </c>
      <c r="X1" s="18" t="s">
        <v>279</v>
      </c>
      <c r="Y1" s="18" t="s">
        <v>280</v>
      </c>
      <c r="Z1" s="18" t="s">
        <v>283</v>
      </c>
      <c r="AA1" s="10" t="s">
        <v>287</v>
      </c>
      <c r="AB1" s="10" t="s">
        <v>288</v>
      </c>
      <c r="AC1" s="10" t="s">
        <v>289</v>
      </c>
      <c r="AD1" s="10" t="s">
        <v>290</v>
      </c>
      <c r="AE1" s="20" t="s">
        <v>292</v>
      </c>
      <c r="AF1" s="20" t="s">
        <v>293</v>
      </c>
      <c r="AG1" s="20" t="s">
        <v>294</v>
      </c>
      <c r="AH1" s="10" t="s">
        <v>295</v>
      </c>
      <c r="AI1" s="10" t="s">
        <v>296</v>
      </c>
      <c r="AJ1" s="10" t="s">
        <v>297</v>
      </c>
      <c r="AK1" s="10" t="s">
        <v>298</v>
      </c>
      <c r="AL1" s="10" t="s">
        <v>299</v>
      </c>
    </row>
    <row r="2" spans="1:38" ht="15.75" thickBo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>
        <v>1689</v>
      </c>
      <c r="F2" s="4">
        <v>13643</v>
      </c>
      <c r="G2" s="4">
        <v>40.414963</v>
      </c>
      <c r="H2" s="4">
        <v>-3.7155990000000001</v>
      </c>
      <c r="I2" s="4">
        <v>72.31</v>
      </c>
      <c r="J2" s="4">
        <v>24.6</v>
      </c>
      <c r="K2" s="3">
        <f>I2*J2</f>
        <v>1778.8260000000002</v>
      </c>
      <c r="L2" s="14">
        <v>48025</v>
      </c>
      <c r="M2" s="16">
        <f>E2/F2*100</f>
        <v>12.379975078794986</v>
      </c>
      <c r="N2" s="5">
        <v>23770</v>
      </c>
      <c r="O2" s="4">
        <v>1.048</v>
      </c>
      <c r="P2" s="3">
        <v>3.474588673091799</v>
      </c>
      <c r="Q2" s="19">
        <f>Coeficiente!$E$19*(Sheet1!M2-Coeficiente!$B$5)</f>
        <v>1.2073029917638378</v>
      </c>
      <c r="R2" s="19">
        <f>Coeficiente!$E$21*(Sheet1!O2-Coeficiente!$B$6)</f>
        <v>3.2277949062584916</v>
      </c>
      <c r="S2" s="19">
        <f>Coeficiente!$E$20*(Sheet1!N2-Coeficiente!$B$7)</f>
        <v>0.33984555346422624</v>
      </c>
      <c r="T2" s="19">
        <f>Coeficiente!$E$22*(Sheet1!P2-Coeficiente!$B$8)</f>
        <v>3.7720559577133902E-3</v>
      </c>
      <c r="U2" s="19">
        <f>Q2+R2+S2+T2</f>
        <v>4.7787155074442689</v>
      </c>
      <c r="V2" s="19">
        <f>Q2*I2</f>
        <v>87.300079334443112</v>
      </c>
      <c r="W2" s="19">
        <f>R2*I2</f>
        <v>233.40184967155153</v>
      </c>
      <c r="X2" s="19">
        <f>S2*I2</f>
        <v>24.574231970998198</v>
      </c>
      <c r="Y2" s="19">
        <f>T2*I2</f>
        <v>0.27275736630225528</v>
      </c>
      <c r="Z2" s="19">
        <f>V2+W2+X2+Y2</f>
        <v>345.5489183432951</v>
      </c>
      <c r="AA2" s="12">
        <f>Q2/J2</f>
        <v>4.907735738877389E-2</v>
      </c>
      <c r="AB2" s="13">
        <f>R2/J2</f>
        <v>0.1312111750511582</v>
      </c>
      <c r="AC2" s="12">
        <f>S2/J2</f>
        <v>1.3814859896919765E-2</v>
      </c>
      <c r="AD2" s="12">
        <f>T2/J2</f>
        <v>1.5333560803712967E-4</v>
      </c>
      <c r="AE2" s="19">
        <f>50*J2</f>
        <v>1230</v>
      </c>
      <c r="AF2" s="19">
        <f>70*J2</f>
        <v>1722</v>
      </c>
      <c r="AG2" s="19">
        <f>100*J2</f>
        <v>2460</v>
      </c>
      <c r="AH2" s="12">
        <f>(12*AE2)/L2</f>
        <v>0.30733992712129099</v>
      </c>
      <c r="AI2" s="12">
        <f>(12*AF2)/L2</f>
        <v>0.43027589796980742</v>
      </c>
      <c r="AJ2" s="15">
        <f>(12*AG2)/L2</f>
        <v>0.61467985424258198</v>
      </c>
      <c r="AK2" s="4">
        <v>2</v>
      </c>
      <c r="AL2" s="4" t="s">
        <v>300</v>
      </c>
    </row>
    <row r="3" spans="1:38" ht="15.75" thickBot="1" x14ac:dyDescent="0.3">
      <c r="A3" s="4" t="s">
        <v>13</v>
      </c>
      <c r="B3" s="4" t="s">
        <v>10</v>
      </c>
      <c r="C3" s="4" t="s">
        <v>11</v>
      </c>
      <c r="D3" s="4" t="s">
        <v>14</v>
      </c>
      <c r="E3" s="4">
        <v>2456</v>
      </c>
      <c r="F3" s="4">
        <v>25770</v>
      </c>
      <c r="G3" s="4">
        <v>40.409556000000002</v>
      </c>
      <c r="H3" s="4">
        <v>-3.701533</v>
      </c>
      <c r="I3" s="4">
        <v>56.61</v>
      </c>
      <c r="J3" s="4">
        <v>25.7</v>
      </c>
      <c r="K3" s="3">
        <f t="shared" ref="K3:K66" si="0">I3*J3</f>
        <v>1454.877</v>
      </c>
      <c r="L3" s="14">
        <v>37741</v>
      </c>
      <c r="M3" s="16">
        <f t="shared" ref="M3:M66" si="1">E3/F3*100</f>
        <v>9.5304617772603812</v>
      </c>
      <c r="N3" s="5">
        <v>18177</v>
      </c>
      <c r="O3" s="4">
        <v>0.83799999999999997</v>
      </c>
      <c r="P3" s="3">
        <v>5.0340738865329033</v>
      </c>
      <c r="Q3" s="19">
        <f>Coeficiente!$E$19*(Sheet1!M3-Coeficiente!$B$5)</f>
        <v>0.8811137149436874</v>
      </c>
      <c r="R3" s="19">
        <f>Coeficiente!$E$21*(Sheet1!O3-Coeficiente!$B$6)</f>
        <v>3.3938646552599425</v>
      </c>
      <c r="S3" s="19">
        <f>Coeficiente!$E$20*(Sheet1!N3-Coeficiente!$B$7)</f>
        <v>-0.74852110338741795</v>
      </c>
      <c r="T3" s="19">
        <f>Coeficiente!$E$22*(Sheet1!P3-Coeficiente!$B$8)</f>
        <v>0.26581138471674154</v>
      </c>
      <c r="U3" s="19">
        <f t="shared" ref="U3:U66" si="2">Q3+R3+S3+T3</f>
        <v>3.7922686515329538</v>
      </c>
      <c r="V3" s="19">
        <f>Q3*I3</f>
        <v>49.879847402962142</v>
      </c>
      <c r="W3" s="19">
        <f>R3*I3</f>
        <v>192.12667813426535</v>
      </c>
      <c r="X3" s="19">
        <f>S3*I3</f>
        <v>-42.373779662761727</v>
      </c>
      <c r="Y3" s="19">
        <f>T3*I3</f>
        <v>15.047582488814738</v>
      </c>
      <c r="Z3" s="19">
        <f t="shared" ref="Z3:Z66" si="3">V3+W3+X3+Y3</f>
        <v>214.68032836328049</v>
      </c>
      <c r="AA3" s="12">
        <f>Q3/J3</f>
        <v>3.4284580348003399E-2</v>
      </c>
      <c r="AB3" s="13">
        <f>R3/J3</f>
        <v>0.13205699047704056</v>
      </c>
      <c r="AC3" s="12">
        <f>S3/J3</f>
        <v>-2.9125334762156341E-2</v>
      </c>
      <c r="AD3" s="12">
        <f>T3/J3</f>
        <v>1.0342855436449087E-2</v>
      </c>
      <c r="AE3" s="19">
        <f>50*J3</f>
        <v>1285</v>
      </c>
      <c r="AF3" s="19">
        <f>70*J3</f>
        <v>1799</v>
      </c>
      <c r="AG3" s="19">
        <f>100*J3</f>
        <v>2570</v>
      </c>
      <c r="AH3" s="12">
        <f>(12*AE3)/L3</f>
        <v>0.40857422961765721</v>
      </c>
      <c r="AI3" s="12">
        <f>(12*AF3)/L3</f>
        <v>0.57200392146472001</v>
      </c>
      <c r="AJ3" s="15">
        <f>(12*AG3)/L3</f>
        <v>0.81714845923531443</v>
      </c>
      <c r="AK3" s="4">
        <v>2</v>
      </c>
      <c r="AL3" s="4" t="s">
        <v>300</v>
      </c>
    </row>
    <row r="4" spans="1:38" ht="15.75" thickBot="1" x14ac:dyDescent="0.3">
      <c r="A4" s="4" t="s">
        <v>15</v>
      </c>
      <c r="B4" s="4" t="s">
        <v>10</v>
      </c>
      <c r="C4" s="4" t="s">
        <v>11</v>
      </c>
      <c r="D4" s="4" t="s">
        <v>16</v>
      </c>
      <c r="E4" s="4">
        <v>1056</v>
      </c>
      <c r="F4" s="4">
        <v>6656</v>
      </c>
      <c r="G4" s="4">
        <v>40.414428000000001</v>
      </c>
      <c r="H4" s="4">
        <v>-3.6985329999999998</v>
      </c>
      <c r="I4" s="4">
        <v>89.04</v>
      </c>
      <c r="J4" s="4">
        <v>26.1</v>
      </c>
      <c r="K4" s="3">
        <f t="shared" si="0"/>
        <v>2323.9440000000004</v>
      </c>
      <c r="L4" s="14">
        <v>49485</v>
      </c>
      <c r="M4" s="16">
        <f t="shared" si="1"/>
        <v>15.865384615384615</v>
      </c>
      <c r="N4" s="5">
        <v>24671</v>
      </c>
      <c r="O4" s="4">
        <v>0.50800000000000001</v>
      </c>
      <c r="P4" s="3">
        <v>3.2291808796106789</v>
      </c>
      <c r="Q4" s="19">
        <f>Coeficiente!$E$19*(Sheet1!M4-Coeficiente!$B$5)</f>
        <v>1.6062845355769326</v>
      </c>
      <c r="R4" s="19">
        <f>Coeficiente!$E$21*(Sheet1!O4-Coeficiente!$B$6)</f>
        <v>3.6548314036907943</v>
      </c>
      <c r="S4" s="19">
        <f>Coeficiente!$E$20*(Sheet1!N4-Coeficiente!$B$7)</f>
        <v>0.51517513648288016</v>
      </c>
      <c r="T4" s="19">
        <f>Coeficiente!$E$22*(Sheet1!P4-Coeficiente!$B$8)</f>
        <v>-3.7463662676726565E-2</v>
      </c>
      <c r="U4" s="19">
        <f t="shared" si="2"/>
        <v>5.7388274130738806</v>
      </c>
      <c r="V4" s="19">
        <f>Q4*I4</f>
        <v>143.02357504777009</v>
      </c>
      <c r="W4" s="19">
        <f>R4*I4</f>
        <v>325.42618818462836</v>
      </c>
      <c r="X4" s="19">
        <f>S4*I4</f>
        <v>45.871194152435649</v>
      </c>
      <c r="Y4" s="19">
        <f>T4*I4</f>
        <v>-3.3357645247357337</v>
      </c>
      <c r="Z4" s="19">
        <f t="shared" si="3"/>
        <v>510.98519286009844</v>
      </c>
      <c r="AA4" s="12">
        <f>Q4/J4</f>
        <v>6.1543468796051055E-2</v>
      </c>
      <c r="AB4" s="13">
        <f>R4/J4</f>
        <v>0.14003185454754</v>
      </c>
      <c r="AC4" s="12">
        <f>S4/J4</f>
        <v>1.973851097635556E-2</v>
      </c>
      <c r="AD4" s="12">
        <f>T4/J4</f>
        <v>-1.4353893745872245E-3</v>
      </c>
      <c r="AE4" s="19">
        <f>50*J4</f>
        <v>1305</v>
      </c>
      <c r="AF4" s="19">
        <f>70*J4</f>
        <v>1827</v>
      </c>
      <c r="AG4" s="19">
        <f>100*J4</f>
        <v>2610</v>
      </c>
      <c r="AH4" s="12">
        <f>(12*AE4)/L4</f>
        <v>0.31645953319187631</v>
      </c>
      <c r="AI4" s="12">
        <f>(12*AF4)/L4</f>
        <v>0.44304334646862686</v>
      </c>
      <c r="AJ4" s="15">
        <f>(12*AG4)/L4</f>
        <v>0.63291906638375262</v>
      </c>
      <c r="AK4" s="4">
        <v>2</v>
      </c>
      <c r="AL4" s="4" t="s">
        <v>300</v>
      </c>
    </row>
    <row r="5" spans="1:38" ht="15.75" thickBot="1" x14ac:dyDescent="0.3">
      <c r="A5" s="4" t="s">
        <v>17</v>
      </c>
      <c r="B5" s="4" t="s">
        <v>10</v>
      </c>
      <c r="C5" s="4" t="s">
        <v>11</v>
      </c>
      <c r="D5" s="4" t="s">
        <v>18</v>
      </c>
      <c r="E5" s="4">
        <v>1128</v>
      </c>
      <c r="F5" s="4">
        <v>10724</v>
      </c>
      <c r="G5" s="4">
        <v>40.423892000000002</v>
      </c>
      <c r="H5" s="4">
        <v>-3.6958099999999998</v>
      </c>
      <c r="I5" s="4">
        <v>92.61</v>
      </c>
      <c r="J5" s="4">
        <v>27.9</v>
      </c>
      <c r="K5" s="3">
        <f t="shared" si="0"/>
        <v>2583.819</v>
      </c>
      <c r="L5" s="14">
        <v>57745</v>
      </c>
      <c r="M5" s="16">
        <f t="shared" si="1"/>
        <v>10.51846325997762</v>
      </c>
      <c r="N5" s="5">
        <v>28051</v>
      </c>
      <c r="O5" s="4">
        <v>1.0109999999999999</v>
      </c>
      <c r="P5" s="3">
        <v>2.814005086855349</v>
      </c>
      <c r="Q5" s="19">
        <f>Coeficiente!$E$19*(Sheet1!M5-Coeficiente!$B$5)</f>
        <v>0.99421214791861379</v>
      </c>
      <c r="R5" s="19">
        <f>Coeficiente!$E$21*(Sheet1!O5-Coeficiente!$B$6)</f>
        <v>3.25705481441589</v>
      </c>
      <c r="S5" s="19">
        <f>Coeficiente!$E$20*(Sheet1!N5-Coeficiente!$B$7)</f>
        <v>1.1729043158425365</v>
      </c>
      <c r="T5" s="19">
        <f>Coeficiente!$E$22*(Sheet1!P5-Coeficiente!$B$8)</f>
        <v>-0.10722539245327677</v>
      </c>
      <c r="U5" s="19">
        <f t="shared" si="2"/>
        <v>5.3169458857237633</v>
      </c>
      <c r="V5" s="19">
        <f>Q5*I5</f>
        <v>92.073987018742827</v>
      </c>
      <c r="W5" s="19">
        <f>R5*I5</f>
        <v>301.63584636305558</v>
      </c>
      <c r="X5" s="19">
        <f>S5*I5</f>
        <v>108.62266869017731</v>
      </c>
      <c r="Y5" s="19">
        <f>T5*I5</f>
        <v>-9.9301435950979613</v>
      </c>
      <c r="Z5" s="19">
        <f t="shared" si="3"/>
        <v>492.40235847687774</v>
      </c>
      <c r="AA5" s="12">
        <f>Q5/J5</f>
        <v>3.563484401141985E-2</v>
      </c>
      <c r="AB5" s="13">
        <f>R5/J5</f>
        <v>0.11674031592888495</v>
      </c>
      <c r="AC5" s="12">
        <f>S5/J5</f>
        <v>4.2039581212994143E-2</v>
      </c>
      <c r="AD5" s="12">
        <f>T5/J5</f>
        <v>-3.8432040305833967E-3</v>
      </c>
      <c r="AE5" s="19">
        <f>50*J5</f>
        <v>1395</v>
      </c>
      <c r="AF5" s="19">
        <f>70*J5</f>
        <v>1953</v>
      </c>
      <c r="AG5" s="19">
        <f>100*J5</f>
        <v>2790</v>
      </c>
      <c r="AH5" s="12">
        <f>(12*AE5)/L5</f>
        <v>0.28989522902415793</v>
      </c>
      <c r="AI5" s="12">
        <f>(12*AF5)/L5</f>
        <v>0.40585332063382112</v>
      </c>
      <c r="AJ5" s="15">
        <f>(12*AG5)/L5</f>
        <v>0.57979045804831586</v>
      </c>
      <c r="AK5" s="4">
        <v>2</v>
      </c>
      <c r="AL5" s="4" t="s">
        <v>300</v>
      </c>
    </row>
    <row r="6" spans="1:38" ht="15.75" thickBot="1" x14ac:dyDescent="0.3">
      <c r="A6" s="4" t="s">
        <v>19</v>
      </c>
      <c r="B6" s="4" t="s">
        <v>10</v>
      </c>
      <c r="C6" s="4" t="s">
        <v>11</v>
      </c>
      <c r="D6" s="4" t="s">
        <v>20</v>
      </c>
      <c r="E6" s="4">
        <v>1954</v>
      </c>
      <c r="F6" s="4">
        <v>20306</v>
      </c>
      <c r="G6" s="4">
        <v>40.425367999999999</v>
      </c>
      <c r="H6" s="4">
        <v>-3.7066729999999999</v>
      </c>
      <c r="I6" s="4">
        <v>68.09</v>
      </c>
      <c r="J6" s="4">
        <v>25.9</v>
      </c>
      <c r="K6" s="3">
        <f t="shared" si="0"/>
        <v>1763.5309999999999</v>
      </c>
      <c r="L6" s="14">
        <v>45078</v>
      </c>
      <c r="M6" s="16">
        <f t="shared" si="1"/>
        <v>9.6227715946025807</v>
      </c>
      <c r="N6" s="5">
        <v>22689</v>
      </c>
      <c r="O6" s="4">
        <v>0.97199999999999998</v>
      </c>
      <c r="P6" s="3">
        <v>3.8590403254756489</v>
      </c>
      <c r="Q6" s="19">
        <f>Coeficiente!$E$19*(Sheet1!M6-Coeficiente!$B$5)</f>
        <v>0.89168059755695206</v>
      </c>
      <c r="R6" s="19">
        <f>Coeficiente!$E$21*(Sheet1!O6-Coeficiente!$B$6)</f>
        <v>3.2878963392304454</v>
      </c>
      <c r="S6" s="19">
        <f>Coeficiente!$E$20*(Sheet1!N6-Coeficiente!$B$7)</f>
        <v>0.12948897272819415</v>
      </c>
      <c r="T6" s="19">
        <f>Coeficiente!$E$22*(Sheet1!P6-Coeficiente!$B$8)</f>
        <v>6.83712275706784E-2</v>
      </c>
      <c r="U6" s="19">
        <f t="shared" si="2"/>
        <v>4.3774371370862708</v>
      </c>
      <c r="V6" s="19">
        <f>Q6*I6</f>
        <v>60.714531887652868</v>
      </c>
      <c r="W6" s="19">
        <f>R6*I6</f>
        <v>223.87286173820104</v>
      </c>
      <c r="X6" s="19">
        <f>S6*I6</f>
        <v>8.8169041530627403</v>
      </c>
      <c r="Y6" s="19">
        <f>T6*I6</f>
        <v>4.6553968852874927</v>
      </c>
      <c r="Z6" s="19">
        <f t="shared" si="3"/>
        <v>298.05969466420413</v>
      </c>
      <c r="AA6" s="12">
        <f>Q6/J6</f>
        <v>3.4427822299496223E-2</v>
      </c>
      <c r="AB6" s="13">
        <f>R6/J6</f>
        <v>0.12694580460349211</v>
      </c>
      <c r="AC6" s="12">
        <f>S6/J6</f>
        <v>4.999574236609813E-3</v>
      </c>
      <c r="AD6" s="12">
        <f>T6/J6</f>
        <v>2.6398157363196296E-3</v>
      </c>
      <c r="AE6" s="19">
        <f>50*J6</f>
        <v>1295</v>
      </c>
      <c r="AF6" s="19">
        <f>70*J6</f>
        <v>1813</v>
      </c>
      <c r="AG6" s="19">
        <f>100*J6</f>
        <v>2590</v>
      </c>
      <c r="AH6" s="12">
        <f>(12*AE6)/L6</f>
        <v>0.34473579129508852</v>
      </c>
      <c r="AI6" s="12">
        <f>(12*AF6)/L6</f>
        <v>0.48263010781312393</v>
      </c>
      <c r="AJ6" s="15">
        <f>(12*AG6)/L6</f>
        <v>0.68947158259017705</v>
      </c>
      <c r="AK6" s="4">
        <v>2</v>
      </c>
      <c r="AL6" s="4" t="s">
        <v>300</v>
      </c>
    </row>
    <row r="7" spans="1:38" ht="15.75" thickBot="1" x14ac:dyDescent="0.3">
      <c r="A7" s="4" t="s">
        <v>21</v>
      </c>
      <c r="B7" s="4" t="s">
        <v>10</v>
      </c>
      <c r="C7" s="4" t="s">
        <v>11</v>
      </c>
      <c r="D7" s="4" t="s">
        <v>22</v>
      </c>
      <c r="E7" s="4">
        <v>1254</v>
      </c>
      <c r="F7" s="4">
        <v>4704</v>
      </c>
      <c r="G7" s="4">
        <v>40.416913999999998</v>
      </c>
      <c r="H7" s="4">
        <v>-3.7044489999999999</v>
      </c>
      <c r="I7" s="4">
        <v>91.51</v>
      </c>
      <c r="J7" s="4">
        <v>25.5</v>
      </c>
      <c r="K7" s="3">
        <f t="shared" si="0"/>
        <v>2333.5050000000001</v>
      </c>
      <c r="L7" s="14">
        <v>44128</v>
      </c>
      <c r="M7" s="16">
        <f t="shared" si="1"/>
        <v>26.658163265306122</v>
      </c>
      <c r="N7" s="5">
        <v>21020</v>
      </c>
      <c r="O7" s="4">
        <v>7.8E-2</v>
      </c>
      <c r="P7" s="3">
        <v>4.1031793641271754</v>
      </c>
      <c r="Q7" s="19">
        <f>Coeficiente!$E$19*(Sheet1!M7-Coeficiente!$B$5)</f>
        <v>2.8417546984296185</v>
      </c>
      <c r="R7" s="19">
        <f>Coeficiente!$E$21*(Sheet1!O7-Coeficiente!$B$6)</f>
        <v>3.9948789849794797</v>
      </c>
      <c r="S7" s="19">
        <f>Coeficiente!$E$20*(Sheet1!N7-Coeficiente!$B$7)</f>
        <v>-0.19528913388460653</v>
      </c>
      <c r="T7" s="19">
        <f>Coeficiente!$E$22*(Sheet1!P7-Coeficiente!$B$8)</f>
        <v>0.10939375812161427</v>
      </c>
      <c r="U7" s="19">
        <f t="shared" si="2"/>
        <v>6.7507383076461061</v>
      </c>
      <c r="V7" s="19">
        <f>Q7*I7</f>
        <v>260.04897245329443</v>
      </c>
      <c r="W7" s="19">
        <f>R7*I7</f>
        <v>365.57137591547223</v>
      </c>
      <c r="X7" s="19">
        <f>S7*I7</f>
        <v>-17.870908641780346</v>
      </c>
      <c r="Y7" s="19">
        <f>T7*I7</f>
        <v>10.010622805708921</v>
      </c>
      <c r="Z7" s="19">
        <f t="shared" si="3"/>
        <v>617.7600625326952</v>
      </c>
      <c r="AA7" s="12">
        <f>Q7/J7</f>
        <v>0.11144136072273014</v>
      </c>
      <c r="AB7" s="13">
        <f>R7/J7</f>
        <v>0.15666192097958745</v>
      </c>
      <c r="AC7" s="12">
        <f>S7/J7</f>
        <v>-7.6583974072394721E-3</v>
      </c>
      <c r="AD7" s="12">
        <f>T7/J7</f>
        <v>4.2899512988868339E-3</v>
      </c>
      <c r="AE7" s="19">
        <f>50*J7</f>
        <v>1275</v>
      </c>
      <c r="AF7" s="19">
        <f>70*J7</f>
        <v>1785</v>
      </c>
      <c r="AG7" s="19">
        <f>100*J7</f>
        <v>2550</v>
      </c>
      <c r="AH7" s="12">
        <f>(12*AE7)/L7</f>
        <v>0.34671863669325598</v>
      </c>
      <c r="AI7" s="12">
        <f>(12*AF7)/L7</f>
        <v>0.4854060913705584</v>
      </c>
      <c r="AJ7" s="15">
        <f>(12*AG7)/L7</f>
        <v>0.69343727338651195</v>
      </c>
      <c r="AK7" s="4">
        <v>2</v>
      </c>
      <c r="AL7" s="4" t="s">
        <v>300</v>
      </c>
    </row>
    <row r="8" spans="1:38" ht="15.75" thickBot="1" x14ac:dyDescent="0.3">
      <c r="A8" s="4" t="s">
        <v>23</v>
      </c>
      <c r="B8" s="4" t="s">
        <v>24</v>
      </c>
      <c r="C8" s="4" t="s">
        <v>25</v>
      </c>
      <c r="D8" s="4" t="s">
        <v>26</v>
      </c>
      <c r="E8" s="4">
        <v>182</v>
      </c>
      <c r="F8" s="4">
        <v>11784</v>
      </c>
      <c r="G8" s="4">
        <v>40.406933000000002</v>
      </c>
      <c r="H8" s="4">
        <v>-3.7174339999999999</v>
      </c>
      <c r="I8" s="4">
        <v>81.209999999999994</v>
      </c>
      <c r="J8" s="4">
        <v>21.9</v>
      </c>
      <c r="K8" s="3">
        <f t="shared" si="0"/>
        <v>1778.4989999999998</v>
      </c>
      <c r="L8" s="14">
        <v>54669</v>
      </c>
      <c r="M8" s="16">
        <f t="shared" si="1"/>
        <v>1.5444670739986421</v>
      </c>
      <c r="N8" s="5">
        <v>23591</v>
      </c>
      <c r="O8" s="4">
        <v>1.621</v>
      </c>
      <c r="P8" s="3">
        <v>1.256298137748874</v>
      </c>
      <c r="Q8" s="19">
        <f>Coeficiente!$E$19*(Sheet1!M8-Coeficiente!$B$5)</f>
        <v>-3.3058482653566569E-2</v>
      </c>
      <c r="R8" s="19">
        <f>Coeficiente!$E$21*(Sheet1!O8-Coeficiente!$B$6)</f>
        <v>2.7746617339831037</v>
      </c>
      <c r="S8" s="19">
        <f>Coeficiente!$E$20*(Sheet1!N8-Coeficiente!$B$7)</f>
        <v>0.3050131501786113</v>
      </c>
      <c r="T8" s="19">
        <f>Coeficiente!$E$22*(Sheet1!P8-Coeficiente!$B$8)</f>
        <v>-0.36896592056412547</v>
      </c>
      <c r="U8" s="19">
        <f t="shared" si="2"/>
        <v>2.6776504809440231</v>
      </c>
      <c r="V8" s="19">
        <f>Q8*I8</f>
        <v>-2.684679376296141</v>
      </c>
      <c r="W8" s="19">
        <f>R8*I8</f>
        <v>225.33027941676784</v>
      </c>
      <c r="X8" s="19">
        <f>S8*I8</f>
        <v>24.770117926005021</v>
      </c>
      <c r="Y8" s="19">
        <f>T8*I8</f>
        <v>-29.963722409012629</v>
      </c>
      <c r="Z8" s="19">
        <f t="shared" si="3"/>
        <v>217.45199555746407</v>
      </c>
      <c r="AA8" s="12">
        <f>Q8/J8</f>
        <v>-1.5095197558706197E-3</v>
      </c>
      <c r="AB8" s="13">
        <f>R8/J8</f>
        <v>0.12669688283027872</v>
      </c>
      <c r="AC8" s="12">
        <f>S8/J8</f>
        <v>1.392754110404618E-2</v>
      </c>
      <c r="AD8" s="12">
        <f>T8/J8</f>
        <v>-1.6847758929868745E-2</v>
      </c>
      <c r="AE8" s="19">
        <f>50*J8</f>
        <v>1095</v>
      </c>
      <c r="AF8" s="19">
        <f>70*J8</f>
        <v>1533</v>
      </c>
      <c r="AG8" s="19">
        <f>100*J8</f>
        <v>2190</v>
      </c>
      <c r="AH8" s="12">
        <f>(12*AE8)/L8</f>
        <v>0.24035559457828021</v>
      </c>
      <c r="AI8" s="12">
        <f>(12*AF8)/L8</f>
        <v>0.3364978324095923</v>
      </c>
      <c r="AJ8" s="15">
        <f>(12*AG8)/L8</f>
        <v>0.48071118915656041</v>
      </c>
      <c r="AK8" s="4">
        <v>1</v>
      </c>
      <c r="AL8" s="4" t="s">
        <v>302</v>
      </c>
    </row>
    <row r="9" spans="1:38" ht="15.75" thickBot="1" x14ac:dyDescent="0.3">
      <c r="A9" s="4" t="s">
        <v>27</v>
      </c>
      <c r="B9" s="4" t="s">
        <v>24</v>
      </c>
      <c r="C9" s="4" t="s">
        <v>25</v>
      </c>
      <c r="D9" s="4" t="s">
        <v>28</v>
      </c>
      <c r="E9" s="4">
        <v>200</v>
      </c>
      <c r="F9" s="4">
        <v>17784</v>
      </c>
      <c r="G9" s="4">
        <v>40.400962999999997</v>
      </c>
      <c r="H9" s="4">
        <v>-3.7068569999999998</v>
      </c>
      <c r="I9" s="4">
        <v>79.540000000000006</v>
      </c>
      <c r="J9" s="4">
        <v>21.8</v>
      </c>
      <c r="K9" s="3">
        <f t="shared" si="0"/>
        <v>1733.9720000000002</v>
      </c>
      <c r="L9" s="14">
        <v>56322</v>
      </c>
      <c r="M9" s="16">
        <f t="shared" si="1"/>
        <v>1.1246063877642825</v>
      </c>
      <c r="N9" s="5">
        <v>24444</v>
      </c>
      <c r="O9" s="4">
        <v>1.7969999999999999</v>
      </c>
      <c r="P9" s="3">
        <v>1.119320688134098</v>
      </c>
      <c r="Q9" s="19">
        <f>Coeficiente!$E$19*(Sheet1!M9-Coeficiente!$B$5)</f>
        <v>-8.1120744210387938E-2</v>
      </c>
      <c r="R9" s="19">
        <f>Coeficiente!$E$21*(Sheet1!O9-Coeficiente!$B$6)</f>
        <v>2.6354794681533162</v>
      </c>
      <c r="S9" s="19">
        <f>Coeficiente!$E$20*(Sheet1!N9-Coeficiente!$B$7)</f>
        <v>0.47100220047263108</v>
      </c>
      <c r="T9" s="19">
        <f>Coeficiente!$E$22*(Sheet1!P9-Coeficiente!$B$8)</f>
        <v>-0.3919821560774962</v>
      </c>
      <c r="U9" s="19">
        <f t="shared" si="2"/>
        <v>2.6333787683380629</v>
      </c>
      <c r="V9" s="19">
        <f>Q9*I9</f>
        <v>-6.4523439944942567</v>
      </c>
      <c r="W9" s="19">
        <f>R9*I9</f>
        <v>209.6260368969148</v>
      </c>
      <c r="X9" s="19">
        <f>S9*I9</f>
        <v>37.463515025593082</v>
      </c>
      <c r="Y9" s="19">
        <f>T9*I9</f>
        <v>-31.178260694404049</v>
      </c>
      <c r="Z9" s="19">
        <f t="shared" si="3"/>
        <v>209.45894723360959</v>
      </c>
      <c r="AA9" s="12">
        <f>Q9/J9</f>
        <v>-3.7211350555223822E-3</v>
      </c>
      <c r="AB9" s="13">
        <f>R9/J9</f>
        <v>0.1208935535850145</v>
      </c>
      <c r="AC9" s="12">
        <f>S9/J9</f>
        <v>2.1605605526267481E-2</v>
      </c>
      <c r="AD9" s="12">
        <f>T9/J9</f>
        <v>-1.7980832847591569E-2</v>
      </c>
      <c r="AE9" s="19">
        <f>50*J9</f>
        <v>1090</v>
      </c>
      <c r="AF9" s="19">
        <f>70*J9</f>
        <v>1526</v>
      </c>
      <c r="AG9" s="19">
        <f>100*J9</f>
        <v>2180</v>
      </c>
      <c r="AH9" s="12">
        <f>(12*AE9)/L9</f>
        <v>0.23223607116224565</v>
      </c>
      <c r="AI9" s="12">
        <f>(12*AF9)/L9</f>
        <v>0.32513049962714391</v>
      </c>
      <c r="AJ9" s="15">
        <f>(12*AG9)/L9</f>
        <v>0.4644721423244913</v>
      </c>
      <c r="AK9" s="4">
        <v>1</v>
      </c>
      <c r="AL9" s="4" t="s">
        <v>302</v>
      </c>
    </row>
    <row r="10" spans="1:38" ht="15.75" thickBot="1" x14ac:dyDescent="0.3">
      <c r="A10" s="4" t="s">
        <v>29</v>
      </c>
      <c r="B10" s="4" t="s">
        <v>24</v>
      </c>
      <c r="C10" s="4" t="s">
        <v>25</v>
      </c>
      <c r="D10" s="4" t="s">
        <v>30</v>
      </c>
      <c r="E10" s="4">
        <v>134</v>
      </c>
      <c r="F10" s="4">
        <v>9730</v>
      </c>
      <c r="G10" s="4">
        <v>40.394798999999999</v>
      </c>
      <c r="H10" s="4">
        <v>-3.6995279999999999</v>
      </c>
      <c r="I10" s="4">
        <v>67.47</v>
      </c>
      <c r="J10" s="4">
        <v>22.4</v>
      </c>
      <c r="K10" s="3">
        <f t="shared" si="0"/>
        <v>1511.328</v>
      </c>
      <c r="L10" s="14">
        <v>43195</v>
      </c>
      <c r="M10" s="16">
        <f t="shared" si="1"/>
        <v>1.3771839671120247</v>
      </c>
      <c r="N10" s="5">
        <v>18830</v>
      </c>
      <c r="O10" s="4">
        <v>2.4820000000000002</v>
      </c>
      <c r="P10" s="3">
        <v>2.4739485718569609</v>
      </c>
      <c r="Q10" s="19">
        <f>Coeficiente!$E$19*(Sheet1!M10-Coeficiente!$B$5)</f>
        <v>-5.2207702146659346E-2</v>
      </c>
      <c r="R10" s="19">
        <f>Coeficiente!$E$21*(Sheet1!O10-Coeficiente!$B$6)</f>
        <v>2.0937757630771539</v>
      </c>
      <c r="S10" s="19">
        <f>Coeficiente!$E$20*(Sheet1!N10-Coeficiente!$B$7)</f>
        <v>-0.62145093944604057</v>
      </c>
      <c r="T10" s="19">
        <f>Coeficiente!$E$22*(Sheet1!P10-Coeficiente!$B$8)</f>
        <v>-0.1643648767922716</v>
      </c>
      <c r="U10" s="19">
        <f t="shared" si="2"/>
        <v>1.2557522446921825</v>
      </c>
      <c r="V10" s="19">
        <f>Q10*I10</f>
        <v>-3.5224536638351061</v>
      </c>
      <c r="W10" s="19">
        <f>R10*I10</f>
        <v>141.26705073481557</v>
      </c>
      <c r="X10" s="19">
        <f>S10*I10</f>
        <v>-41.929294884424358</v>
      </c>
      <c r="Y10" s="19">
        <f>T10*I10</f>
        <v>-11.089698237174565</v>
      </c>
      <c r="Z10" s="19">
        <f t="shared" si="3"/>
        <v>84.725603949381536</v>
      </c>
      <c r="AA10" s="12">
        <f>Q10/J10</f>
        <v>-2.3307009886901495E-3</v>
      </c>
      <c r="AB10" s="13">
        <f>R10/J10</f>
        <v>9.3472132280230089E-2</v>
      </c>
      <c r="AC10" s="12">
        <f>S10/J10</f>
        <v>-2.7743345510983956E-2</v>
      </c>
      <c r="AD10" s="12">
        <f>T10/J10</f>
        <v>-7.337717713940697E-3</v>
      </c>
      <c r="AE10" s="19">
        <f>50*J10</f>
        <v>1120</v>
      </c>
      <c r="AF10" s="19">
        <f>70*J10</f>
        <v>1568</v>
      </c>
      <c r="AG10" s="19">
        <f>100*J10</f>
        <v>2240</v>
      </c>
      <c r="AH10" s="12">
        <f>(12*AE10)/L10</f>
        <v>0.31114712350966545</v>
      </c>
      <c r="AI10" s="12">
        <f>(12*AF10)/L10</f>
        <v>0.43560597291353165</v>
      </c>
      <c r="AJ10" s="15">
        <f>(12*AG10)/L10</f>
        <v>0.62229424701933089</v>
      </c>
      <c r="AK10" s="4">
        <v>0</v>
      </c>
      <c r="AL10" s="4" t="s">
        <v>301</v>
      </c>
    </row>
    <row r="11" spans="1:38" ht="15.75" thickBot="1" x14ac:dyDescent="0.3">
      <c r="A11" s="4" t="s">
        <v>31</v>
      </c>
      <c r="B11" s="4" t="s">
        <v>24</v>
      </c>
      <c r="C11" s="4" t="s">
        <v>25</v>
      </c>
      <c r="D11" s="4" t="s">
        <v>32</v>
      </c>
      <c r="E11" s="4">
        <v>44</v>
      </c>
      <c r="F11" s="4">
        <v>8936</v>
      </c>
      <c r="G11" s="4">
        <v>40.388086000000001</v>
      </c>
      <c r="H11" s="4">
        <v>-3.688609</v>
      </c>
      <c r="I11" s="4">
        <v>88.06</v>
      </c>
      <c r="J11" s="4">
        <v>19.600000000000001</v>
      </c>
      <c r="K11" s="3">
        <f t="shared" si="0"/>
        <v>1725.9760000000001</v>
      </c>
      <c r="L11" s="14">
        <v>63915</v>
      </c>
      <c r="M11" s="16">
        <f t="shared" si="1"/>
        <v>0.49239033124440468</v>
      </c>
      <c r="N11" s="5">
        <v>25356</v>
      </c>
      <c r="O11" s="4">
        <v>3.4449999999999998</v>
      </c>
      <c r="P11" s="3">
        <v>1.98342063774602</v>
      </c>
      <c r="Q11" s="19">
        <f>Coeficiente!$E$19*(Sheet1!M11-Coeficiente!$B$5)</f>
        <v>-0.15349173407705929</v>
      </c>
      <c r="R11" s="19">
        <f>Coeficiente!$E$21*(Sheet1!O11-Coeficiente!$B$6)</f>
        <v>1.3322273426562141</v>
      </c>
      <c r="S11" s="19">
        <f>Coeficiente!$E$20*(Sheet1!N11-Coeficiente!$B$7)</f>
        <v>0.6484723222406803</v>
      </c>
      <c r="T11" s="19">
        <f>Coeficiente!$E$22*(Sheet1!P11-Coeficiente!$B$8)</f>
        <v>-0.24678797993177318</v>
      </c>
      <c r="U11" s="19">
        <f t="shared" si="2"/>
        <v>1.5804199508880619</v>
      </c>
      <c r="V11" s="19">
        <f>Q11*I11</f>
        <v>-13.516482102825842</v>
      </c>
      <c r="W11" s="19">
        <f>R11*I11</f>
        <v>117.31593979430622</v>
      </c>
      <c r="X11" s="19">
        <f>S11*I11</f>
        <v>57.104472696514307</v>
      </c>
      <c r="Y11" s="19">
        <f>T11*I11</f>
        <v>-21.732149512791946</v>
      </c>
      <c r="Z11" s="19">
        <f t="shared" si="3"/>
        <v>139.17178087520273</v>
      </c>
      <c r="AA11" s="12">
        <f>Q11/J11</f>
        <v>-7.8312109222989437E-3</v>
      </c>
      <c r="AB11" s="13">
        <f>R11/J11</f>
        <v>6.7970782788582346E-2</v>
      </c>
      <c r="AC11" s="12">
        <f>S11/J11</f>
        <v>3.3085322563300011E-2</v>
      </c>
      <c r="AD11" s="12">
        <f>T11/J11</f>
        <v>-1.2591223465906794E-2</v>
      </c>
      <c r="AE11" s="19">
        <f>50*J11</f>
        <v>980.00000000000011</v>
      </c>
      <c r="AF11" s="19">
        <f>70*J11</f>
        <v>1372</v>
      </c>
      <c r="AG11" s="19">
        <f>100*J11</f>
        <v>1960.0000000000002</v>
      </c>
      <c r="AH11" s="12">
        <f>(12*AE11)/L11</f>
        <v>0.18399436751936168</v>
      </c>
      <c r="AI11" s="12">
        <f>(12*AF11)/L11</f>
        <v>0.25759211452710629</v>
      </c>
      <c r="AJ11" s="15">
        <f>(12*AG11)/L11</f>
        <v>0.36798873503872337</v>
      </c>
      <c r="AK11" s="4">
        <v>1</v>
      </c>
      <c r="AL11" s="4" t="s">
        <v>302</v>
      </c>
    </row>
    <row r="12" spans="1:38" ht="15.75" thickBot="1" x14ac:dyDescent="0.3">
      <c r="A12" s="4" t="s">
        <v>33</v>
      </c>
      <c r="B12" s="4" t="s">
        <v>24</v>
      </c>
      <c r="C12" s="4" t="s">
        <v>25</v>
      </c>
      <c r="D12" s="4" t="s">
        <v>34</v>
      </c>
      <c r="E12" s="4">
        <v>172</v>
      </c>
      <c r="F12" s="4">
        <v>13814</v>
      </c>
      <c r="G12" s="4">
        <v>40.396152999999998</v>
      </c>
      <c r="H12" s="4">
        <v>-3.6884250000000001</v>
      </c>
      <c r="I12" s="4">
        <v>69.959999999999994</v>
      </c>
      <c r="J12" s="4">
        <v>23.1</v>
      </c>
      <c r="K12" s="3">
        <f t="shared" si="0"/>
        <v>1616.076</v>
      </c>
      <c r="L12" s="14">
        <v>53067</v>
      </c>
      <c r="M12" s="16">
        <f t="shared" si="1"/>
        <v>1.2451136528159839</v>
      </c>
      <c r="N12" s="5">
        <v>22273</v>
      </c>
      <c r="O12" s="4">
        <v>2.64</v>
      </c>
      <c r="P12" s="3">
        <v>3.0668504479669192</v>
      </c>
      <c r="Q12" s="19">
        <f>Coeficiente!$E$19*(Sheet1!M12-Coeficiente!$B$5)</f>
        <v>-6.7326045439331406E-2</v>
      </c>
      <c r="R12" s="19">
        <f>Coeficiente!$E$21*(Sheet1!O12-Coeficiente!$B$6)</f>
        <v>1.9688280471617763</v>
      </c>
      <c r="S12" s="19">
        <f>Coeficiente!$E$20*(Sheet1!N12-Coeficiente!$B$7)</f>
        <v>4.8537689114698003E-2</v>
      </c>
      <c r="T12" s="19">
        <f>Coeficiente!$E$22*(Sheet1!P12-Coeficiente!$B$8)</f>
        <v>-6.4739943963955673E-2</v>
      </c>
      <c r="U12" s="19">
        <f t="shared" si="2"/>
        <v>1.8852997468731871</v>
      </c>
      <c r="V12" s="19">
        <f>Q12*I12</f>
        <v>-4.7101301389356252</v>
      </c>
      <c r="W12" s="19">
        <f>R12*I12</f>
        <v>137.73921017943786</v>
      </c>
      <c r="X12" s="19">
        <f>S12*I12</f>
        <v>3.3956967304642718</v>
      </c>
      <c r="Y12" s="19">
        <f>T12*I12</f>
        <v>-4.5292064797183382</v>
      </c>
      <c r="Z12" s="19">
        <f t="shared" si="3"/>
        <v>131.89557029124816</v>
      </c>
      <c r="AA12" s="12">
        <f>Q12/J12</f>
        <v>-2.914547421616078E-3</v>
      </c>
      <c r="AB12" s="13">
        <f>R12/J12</f>
        <v>8.5230651392284681E-2</v>
      </c>
      <c r="AC12" s="12">
        <f>S12/J12</f>
        <v>2.1011986629739395E-3</v>
      </c>
      <c r="AD12" s="12">
        <f>T12/J12</f>
        <v>-2.8025949767946177E-3</v>
      </c>
      <c r="AE12" s="19">
        <f>50*J12</f>
        <v>1155</v>
      </c>
      <c r="AF12" s="19">
        <f>70*J12</f>
        <v>1617</v>
      </c>
      <c r="AG12" s="19">
        <f>100*J12</f>
        <v>2310</v>
      </c>
      <c r="AH12" s="12">
        <f>(12*AE12)/L12</f>
        <v>0.26117926394934704</v>
      </c>
      <c r="AI12" s="12">
        <f>(12*AF12)/L12</f>
        <v>0.36565096952908588</v>
      </c>
      <c r="AJ12" s="15">
        <f>(12*AG12)/L12</f>
        <v>0.52235852789869408</v>
      </c>
      <c r="AK12" s="4">
        <v>0</v>
      </c>
      <c r="AL12" s="4" t="s">
        <v>301</v>
      </c>
    </row>
    <row r="13" spans="1:38" ht="15.75" thickBot="1" x14ac:dyDescent="0.3">
      <c r="A13" s="4" t="s">
        <v>35</v>
      </c>
      <c r="B13" s="4" t="s">
        <v>24</v>
      </c>
      <c r="C13" s="4" t="s">
        <v>25</v>
      </c>
      <c r="D13" s="4" t="s">
        <v>36</v>
      </c>
      <c r="E13" s="4">
        <v>369</v>
      </c>
      <c r="F13" s="4">
        <v>13703</v>
      </c>
      <c r="G13" s="4">
        <v>40.403300000000002</v>
      </c>
      <c r="H13" s="4">
        <v>-3.6949610000000002</v>
      </c>
      <c r="I13" s="4">
        <v>65.13</v>
      </c>
      <c r="J13" s="4">
        <v>23.3</v>
      </c>
      <c r="K13" s="3">
        <f t="shared" si="0"/>
        <v>1517.529</v>
      </c>
      <c r="L13" s="14">
        <v>45803</v>
      </c>
      <c r="M13" s="16">
        <f t="shared" si="1"/>
        <v>2.6928409837261915</v>
      </c>
      <c r="N13" s="5">
        <v>21157</v>
      </c>
      <c r="O13" s="4">
        <v>1.68</v>
      </c>
      <c r="P13" s="3">
        <v>2.7236818833886849</v>
      </c>
      <c r="Q13" s="19">
        <f>Coeficiente!$E$19*(Sheet1!M13-Coeficiente!$B$5)</f>
        <v>9.8398090976542077E-2</v>
      </c>
      <c r="R13" s="19">
        <f>Coeficiente!$E$21*(Sheet1!O13-Coeficiente!$B$6)</f>
        <v>2.7280040425969818</v>
      </c>
      <c r="S13" s="19">
        <f>Coeficiente!$E$20*(Sheet1!N13-Coeficiente!$B$7)</f>
        <v>-0.16862969673304648</v>
      </c>
      <c r="T13" s="19">
        <f>Coeficiente!$E$22*(Sheet1!P13-Coeficiente!$B$8)</f>
        <v>-0.12240234405485323</v>
      </c>
      <c r="U13" s="19">
        <f t="shared" si="2"/>
        <v>2.5353700927856244</v>
      </c>
      <c r="V13" s="19">
        <f>Q13*I13</f>
        <v>6.4086676653021852</v>
      </c>
      <c r="W13" s="19">
        <f>R13*I13</f>
        <v>177.67490329434142</v>
      </c>
      <c r="X13" s="19">
        <f>S13*I13</f>
        <v>-10.982852148223316</v>
      </c>
      <c r="Y13" s="19">
        <f>T13*I13</f>
        <v>-7.9720646682925906</v>
      </c>
      <c r="Z13" s="19">
        <f t="shared" si="3"/>
        <v>165.12865414312768</v>
      </c>
      <c r="AA13" s="12">
        <f>Q13/J13</f>
        <v>4.2230940333279864E-3</v>
      </c>
      <c r="AB13" s="13">
        <f>R13/J13</f>
        <v>0.11708171856639407</v>
      </c>
      <c r="AC13" s="12">
        <f>S13/J13</f>
        <v>-7.2373260400449132E-3</v>
      </c>
      <c r="AD13" s="12">
        <f>T13/J13</f>
        <v>-5.2533194873327568E-3</v>
      </c>
      <c r="AE13" s="19">
        <f>50*J13</f>
        <v>1165</v>
      </c>
      <c r="AF13" s="19">
        <f>70*J13</f>
        <v>1631</v>
      </c>
      <c r="AG13" s="19">
        <f>100*J13</f>
        <v>2330</v>
      </c>
      <c r="AH13" s="12">
        <f>(12*AE13)/L13</f>
        <v>0.30522018208414298</v>
      </c>
      <c r="AI13" s="12">
        <f>(12*AF13)/L13</f>
        <v>0.42730825491780017</v>
      </c>
      <c r="AJ13" s="15">
        <f>(12*AG13)/L13</f>
        <v>0.61044036416828595</v>
      </c>
      <c r="AK13" s="4">
        <v>0</v>
      </c>
      <c r="AL13" s="4" t="s">
        <v>301</v>
      </c>
    </row>
    <row r="14" spans="1:38" ht="15.75" thickBot="1" x14ac:dyDescent="0.3">
      <c r="A14" s="4" t="s">
        <v>37</v>
      </c>
      <c r="B14" s="4" t="s">
        <v>38</v>
      </c>
      <c r="C14" s="4" t="s">
        <v>39</v>
      </c>
      <c r="D14" s="4" t="s">
        <v>40</v>
      </c>
      <c r="E14" s="4">
        <v>270</v>
      </c>
      <c r="F14" s="4">
        <v>17110</v>
      </c>
      <c r="G14" s="4">
        <v>40.403207999999999</v>
      </c>
      <c r="H14" s="4">
        <v>-3.6787860000000001</v>
      </c>
      <c r="I14" s="4">
        <v>74.34</v>
      </c>
      <c r="J14" s="4">
        <v>21.9</v>
      </c>
      <c r="K14" s="3">
        <f t="shared" si="0"/>
        <v>1628.046</v>
      </c>
      <c r="L14" s="14">
        <v>52842</v>
      </c>
      <c r="M14" s="16">
        <f t="shared" si="1"/>
        <v>1.5780245470485097</v>
      </c>
      <c r="N14" s="5">
        <v>23449</v>
      </c>
      <c r="O14" s="4">
        <v>2.5950000000000002</v>
      </c>
      <c r="P14" s="3">
        <v>2.144675752583495</v>
      </c>
      <c r="Q14" s="19">
        <f>Coeficiente!$E$19*(Sheet1!M14-Coeficiente!$B$5)</f>
        <v>-2.9217094069715083E-2</v>
      </c>
      <c r="R14" s="19">
        <f>Coeficiente!$E$21*(Sheet1!O14-Coeficiente!$B$6)</f>
        <v>2.0044144219478017</v>
      </c>
      <c r="S14" s="19">
        <f>Coeficiente!$E$20*(Sheet1!N14-Coeficiente!$B$7)</f>
        <v>0.27738074086823522</v>
      </c>
      <c r="T14" s="19">
        <f>Coeficiente!$E$22*(Sheet1!P14-Coeficiente!$B$8)</f>
        <v>-0.21969238345751538</v>
      </c>
      <c r="U14" s="19">
        <f t="shared" si="2"/>
        <v>2.0328856852888064</v>
      </c>
      <c r="V14" s="19">
        <f>Q14*I14</f>
        <v>-2.1719987731426196</v>
      </c>
      <c r="W14" s="19">
        <f>R14*I14</f>
        <v>149.00816812759959</v>
      </c>
      <c r="X14" s="19">
        <f>S14*I14</f>
        <v>20.620484276144609</v>
      </c>
      <c r="Y14" s="19">
        <f>T14*I14</f>
        <v>-16.331931786231692</v>
      </c>
      <c r="Z14" s="19">
        <f t="shared" si="3"/>
        <v>151.1247218443699</v>
      </c>
      <c r="AA14" s="12">
        <f>Q14/J14</f>
        <v>-1.334113884461876E-3</v>
      </c>
      <c r="AB14" s="13">
        <f>R14/J14</f>
        <v>9.1525772691680454E-2</v>
      </c>
      <c r="AC14" s="12">
        <f>S14/J14</f>
        <v>1.2665787254257316E-2</v>
      </c>
      <c r="AD14" s="12">
        <f>T14/J14</f>
        <v>-1.003161568299157E-2</v>
      </c>
      <c r="AE14" s="19">
        <f>50*J14</f>
        <v>1095</v>
      </c>
      <c r="AF14" s="19">
        <f>70*J14</f>
        <v>1533</v>
      </c>
      <c r="AG14" s="19">
        <f>100*J14</f>
        <v>2190</v>
      </c>
      <c r="AH14" s="12">
        <f>(12*AE14)/L14</f>
        <v>0.24866583399568526</v>
      </c>
      <c r="AI14" s="12">
        <f>(12*AF14)/L14</f>
        <v>0.34813216759395937</v>
      </c>
      <c r="AJ14" s="15">
        <f>(12*AG14)/L14</f>
        <v>0.49733166799137052</v>
      </c>
      <c r="AK14" s="4">
        <v>1</v>
      </c>
      <c r="AL14" s="4" t="s">
        <v>302</v>
      </c>
    </row>
    <row r="15" spans="1:38" ht="15.75" thickBot="1" x14ac:dyDescent="0.3">
      <c r="A15" s="4" t="s">
        <v>41</v>
      </c>
      <c r="B15" s="4" t="s">
        <v>38</v>
      </c>
      <c r="C15" s="4" t="s">
        <v>39</v>
      </c>
      <c r="D15" s="4" t="s">
        <v>42</v>
      </c>
      <c r="E15" s="4">
        <v>131</v>
      </c>
      <c r="F15" s="4">
        <v>9016</v>
      </c>
      <c r="G15" s="4">
        <v>40.400669999999998</v>
      </c>
      <c r="H15" s="4">
        <v>-3.6715620000000002</v>
      </c>
      <c r="I15" s="4">
        <v>78.739999999999995</v>
      </c>
      <c r="J15" s="4">
        <v>20</v>
      </c>
      <c r="K15" s="3">
        <f t="shared" si="0"/>
        <v>1574.8</v>
      </c>
      <c r="L15" s="14">
        <v>58194</v>
      </c>
      <c r="M15" s="16">
        <f t="shared" si="1"/>
        <v>1.4529724933451642</v>
      </c>
      <c r="N15" s="5">
        <v>24543</v>
      </c>
      <c r="O15" s="4">
        <v>3.2589999999999999</v>
      </c>
      <c r="P15" s="3">
        <v>1.019626489156563</v>
      </c>
      <c r="Q15" s="19">
        <f>Coeficiente!$E$19*(Sheet1!M15-Coeficiente!$B$5)</f>
        <v>-4.3532043552632411E-2</v>
      </c>
      <c r="R15" s="19">
        <f>Coeficiente!$E$21*(Sheet1!O15-Coeficiente!$B$6)</f>
        <v>1.479317691771785</v>
      </c>
      <c r="S15" s="19">
        <f>Coeficiente!$E$20*(Sheet1!N15-Coeficiente!$B$7)</f>
        <v>0.49026704921718905</v>
      </c>
      <c r="T15" s="19">
        <f>Coeficiente!$E$22*(Sheet1!P15-Coeficiente!$B$8)</f>
        <v>-0.40873371021605603</v>
      </c>
      <c r="U15" s="19">
        <f t="shared" si="2"/>
        <v>1.5173189872202855</v>
      </c>
      <c r="V15" s="19">
        <f>Q15*I15</f>
        <v>-3.4277131093342756</v>
      </c>
      <c r="W15" s="19">
        <f>R15*I15</f>
        <v>116.48147505011033</v>
      </c>
      <c r="X15" s="19">
        <f>S15*I15</f>
        <v>38.603627455361462</v>
      </c>
      <c r="Y15" s="19">
        <f>T15*I15</f>
        <v>-32.18369234241225</v>
      </c>
      <c r="Z15" s="19">
        <f t="shared" si="3"/>
        <v>119.47369705372526</v>
      </c>
      <c r="AA15" s="12">
        <f>Q15/J15</f>
        <v>-2.1766021776316205E-3</v>
      </c>
      <c r="AB15" s="13">
        <f>R15/J15</f>
        <v>7.3965884588589242E-2</v>
      </c>
      <c r="AC15" s="12">
        <f>S15/J15</f>
        <v>2.4513352460859453E-2</v>
      </c>
      <c r="AD15" s="12">
        <f>T15/J15</f>
        <v>-2.0436685510802802E-2</v>
      </c>
      <c r="AE15" s="19">
        <f>50*J15</f>
        <v>1000</v>
      </c>
      <c r="AF15" s="19">
        <f>70*J15</f>
        <v>1400</v>
      </c>
      <c r="AG15" s="19">
        <f>100*J15</f>
        <v>2000</v>
      </c>
      <c r="AH15" s="12">
        <f>(12*AE15)/L15</f>
        <v>0.20620682544592225</v>
      </c>
      <c r="AI15" s="12">
        <f>(12*AF15)/L15</f>
        <v>0.28868955562429116</v>
      </c>
      <c r="AJ15" s="15">
        <f>(12*AG15)/L15</f>
        <v>0.41241365089184451</v>
      </c>
      <c r="AK15" s="4">
        <v>1</v>
      </c>
      <c r="AL15" s="4" t="s">
        <v>302</v>
      </c>
    </row>
    <row r="16" spans="1:38" ht="15.75" thickBot="1" x14ac:dyDescent="0.3">
      <c r="A16" s="4" t="s">
        <v>43</v>
      </c>
      <c r="B16" s="4" t="s">
        <v>38</v>
      </c>
      <c r="C16" s="4" t="s">
        <v>39</v>
      </c>
      <c r="D16" s="4" t="s">
        <v>44</v>
      </c>
      <c r="E16" s="4">
        <v>36</v>
      </c>
      <c r="F16" s="4">
        <v>9531</v>
      </c>
      <c r="G16" s="4">
        <v>40.413828000000002</v>
      </c>
      <c r="H16" s="4">
        <v>-3.665368</v>
      </c>
      <c r="I16" s="4">
        <v>110.45</v>
      </c>
      <c r="J16" s="4">
        <v>21.4</v>
      </c>
      <c r="K16" s="3">
        <f t="shared" si="0"/>
        <v>2363.63</v>
      </c>
      <c r="L16" s="14">
        <v>71559</v>
      </c>
      <c r="M16" s="16">
        <f t="shared" si="1"/>
        <v>0.37771482530689332</v>
      </c>
      <c r="N16" s="5">
        <v>27595</v>
      </c>
      <c r="O16" s="4">
        <v>3.2559999999999998</v>
      </c>
      <c r="P16" s="3">
        <v>0.55038196508376813</v>
      </c>
      <c r="Q16" s="19">
        <f>Coeficiente!$E$19*(Sheet1!M16-Coeficiente!$B$5)</f>
        <v>-0.16661886014823665</v>
      </c>
      <c r="R16" s="19">
        <f>Coeficiente!$E$21*(Sheet1!O16-Coeficiente!$B$6)</f>
        <v>1.48169011675752</v>
      </c>
      <c r="S16" s="19">
        <f>Coeficiente!$E$20*(Sheet1!N16-Coeficiente!$B$7)</f>
        <v>1.0841692549585118</v>
      </c>
      <c r="T16" s="19">
        <f>Coeficiente!$E$22*(Sheet1!P16-Coeficiente!$B$8)</f>
        <v>-0.48758057522772513</v>
      </c>
      <c r="U16" s="19">
        <f t="shared" si="2"/>
        <v>1.9116599363400699</v>
      </c>
      <c r="V16" s="19">
        <f>Q16*I16</f>
        <v>-18.403053103372738</v>
      </c>
      <c r="W16" s="19">
        <f>R16*I16</f>
        <v>163.65267339586811</v>
      </c>
      <c r="X16" s="19">
        <f>S16*I16</f>
        <v>119.74649421016763</v>
      </c>
      <c r="Y16" s="19">
        <f>T16*I16</f>
        <v>-53.853274533902244</v>
      </c>
      <c r="Z16" s="19">
        <f t="shared" si="3"/>
        <v>211.14283996876074</v>
      </c>
      <c r="AA16" s="12">
        <f>Q16/J16</f>
        <v>-7.7859280443101243E-3</v>
      </c>
      <c r="AB16" s="13">
        <f>R16/J16</f>
        <v>6.9237855923248603E-2</v>
      </c>
      <c r="AC16" s="12">
        <f>S16/J16</f>
        <v>5.0662114717687473E-2</v>
      </c>
      <c r="AD16" s="12">
        <f>T16/J16</f>
        <v>-2.2784139029332951E-2</v>
      </c>
      <c r="AE16" s="19">
        <f>50*J16</f>
        <v>1070</v>
      </c>
      <c r="AF16" s="19">
        <f>70*J16</f>
        <v>1498</v>
      </c>
      <c r="AG16" s="19">
        <f>100*J16</f>
        <v>2140</v>
      </c>
      <c r="AH16" s="12">
        <f>(12*AE16)/L16</f>
        <v>0.17943235651699996</v>
      </c>
      <c r="AI16" s="12">
        <f>(12*AF16)/L16</f>
        <v>0.25120529912379996</v>
      </c>
      <c r="AJ16" s="15">
        <f>(12*AG16)/L16</f>
        <v>0.35886471303399992</v>
      </c>
      <c r="AK16" s="4">
        <v>1</v>
      </c>
      <c r="AL16" s="4" t="s">
        <v>302</v>
      </c>
    </row>
    <row r="17" spans="1:38" ht="15.75" thickBot="1" x14ac:dyDescent="0.3">
      <c r="A17" s="4" t="s">
        <v>45</v>
      </c>
      <c r="B17" s="4" t="s">
        <v>38</v>
      </c>
      <c r="C17" s="4" t="s">
        <v>39</v>
      </c>
      <c r="D17" s="4" t="s">
        <v>46</v>
      </c>
      <c r="E17" s="4">
        <v>227</v>
      </c>
      <c r="F17" s="4">
        <v>10400</v>
      </c>
      <c r="G17" s="4">
        <v>40.418764000000003</v>
      </c>
      <c r="H17" s="4">
        <v>-3.674064</v>
      </c>
      <c r="I17" s="4">
        <v>88.22</v>
      </c>
      <c r="J17" s="4">
        <v>26.1</v>
      </c>
      <c r="K17" s="3">
        <f t="shared" si="0"/>
        <v>2302.5419999999999</v>
      </c>
      <c r="L17" s="14">
        <v>62317</v>
      </c>
      <c r="M17" s="16">
        <f t="shared" si="1"/>
        <v>2.1826923076923075</v>
      </c>
      <c r="N17" s="5">
        <v>26761</v>
      </c>
      <c r="O17" s="4">
        <v>2.508</v>
      </c>
      <c r="P17" s="3">
        <v>2.3814997011631651</v>
      </c>
      <c r="Q17" s="19">
        <f>Coeficiente!$E$19*(Sheet1!M17-Coeficiente!$B$5)</f>
        <v>4.0000389300037423E-2</v>
      </c>
      <c r="R17" s="19">
        <f>Coeficiente!$E$21*(Sheet1!O17-Coeficiente!$B$6)</f>
        <v>2.0732147465341173</v>
      </c>
      <c r="S17" s="19">
        <f>Coeficiente!$E$20*(Sheet1!N17-Coeficiente!$B$7)</f>
        <v>0.92187749886799308</v>
      </c>
      <c r="T17" s="19">
        <f>Coeficiente!$E$22*(Sheet1!P17-Coeficiente!$B$8)</f>
        <v>-0.17989900293360123</v>
      </c>
      <c r="U17" s="19">
        <f t="shared" si="2"/>
        <v>2.8551936317685467</v>
      </c>
      <c r="V17" s="19">
        <f>Q17*I17</f>
        <v>3.5288343440493013</v>
      </c>
      <c r="W17" s="19">
        <f>R17*I17</f>
        <v>182.89900493923983</v>
      </c>
      <c r="X17" s="19">
        <f>S17*I17</f>
        <v>81.328032950134343</v>
      </c>
      <c r="Y17" s="19">
        <f>T17*I17</f>
        <v>-15.8706900388023</v>
      </c>
      <c r="Z17" s="19">
        <f t="shared" si="3"/>
        <v>251.88518219462117</v>
      </c>
      <c r="AA17" s="12">
        <f>Q17/J17</f>
        <v>1.5325819655186751E-3</v>
      </c>
      <c r="AB17" s="13">
        <f>R17/J17</f>
        <v>7.9433515192878057E-2</v>
      </c>
      <c r="AC17" s="12">
        <f>S17/J17</f>
        <v>3.5320976968122336E-2</v>
      </c>
      <c r="AD17" s="12">
        <f>T17/J17</f>
        <v>-6.8926821047356791E-3</v>
      </c>
      <c r="AE17" s="19">
        <f>50*J17</f>
        <v>1305</v>
      </c>
      <c r="AF17" s="19">
        <f>70*J17</f>
        <v>1827</v>
      </c>
      <c r="AG17" s="19">
        <f>100*J17</f>
        <v>2610</v>
      </c>
      <c r="AH17" s="12">
        <f>(12*AE17)/L17</f>
        <v>0.25129579408508113</v>
      </c>
      <c r="AI17" s="12">
        <f>(12*AF17)/L17</f>
        <v>0.35181411171911359</v>
      </c>
      <c r="AJ17" s="15">
        <f>(12*AG17)/L17</f>
        <v>0.50259158817016225</v>
      </c>
      <c r="AK17" s="4">
        <v>0</v>
      </c>
      <c r="AL17" s="4" t="s">
        <v>301</v>
      </c>
    </row>
    <row r="18" spans="1:38" ht="15.75" thickBot="1" x14ac:dyDescent="0.3">
      <c r="A18" s="4" t="s">
        <v>47</v>
      </c>
      <c r="B18" s="4" t="s">
        <v>38</v>
      </c>
      <c r="C18" s="4" t="s">
        <v>39</v>
      </c>
      <c r="D18" s="4" t="s">
        <v>48</v>
      </c>
      <c r="E18" s="4">
        <v>90</v>
      </c>
      <c r="F18" s="4">
        <v>3226</v>
      </c>
      <c r="G18" s="4">
        <v>40.413482999999999</v>
      </c>
      <c r="H18" s="4">
        <v>-3.685066</v>
      </c>
      <c r="I18" s="4">
        <v>153.28</v>
      </c>
      <c r="J18" s="4">
        <v>27.3</v>
      </c>
      <c r="K18" s="3">
        <f t="shared" si="0"/>
        <v>4184.5439999999999</v>
      </c>
      <c r="L18" s="14">
        <v>84768</v>
      </c>
      <c r="M18" s="16">
        <f t="shared" si="1"/>
        <v>2.7898326100433977</v>
      </c>
      <c r="N18" s="5">
        <v>31815</v>
      </c>
      <c r="O18" s="4">
        <v>1.613</v>
      </c>
      <c r="P18" s="3">
        <v>1.5844174722000151</v>
      </c>
      <c r="Q18" s="19">
        <f>Coeficiente!$E$19*(Sheet1!M18-Coeficiente!$B$5)</f>
        <v>0.1095009092820335</v>
      </c>
      <c r="R18" s="19">
        <f>Coeficiente!$E$21*(Sheet1!O18-Coeficiente!$B$6)</f>
        <v>2.7809882006117301</v>
      </c>
      <c r="S18" s="19">
        <f>Coeficiente!$E$20*(Sheet1!N18-Coeficiente!$B$7)</f>
        <v>1.9053577569992661</v>
      </c>
      <c r="T18" s="19">
        <f>Coeficiente!$E$22*(Sheet1!P18-Coeficiente!$B$8)</f>
        <v>-0.31383223323488479</v>
      </c>
      <c r="U18" s="19">
        <f t="shared" si="2"/>
        <v>4.482014633658145</v>
      </c>
      <c r="V18" s="19">
        <f>Q18*I18</f>
        <v>16.784299374750095</v>
      </c>
      <c r="W18" s="19">
        <f>R18*I18</f>
        <v>426.26987138976602</v>
      </c>
      <c r="X18" s="19">
        <f>S18*I18</f>
        <v>292.05323699284753</v>
      </c>
      <c r="Y18" s="19">
        <f>T18*I18</f>
        <v>-48.104204710243138</v>
      </c>
      <c r="Z18" s="19">
        <f t="shared" si="3"/>
        <v>687.00320304712056</v>
      </c>
      <c r="AA18" s="12">
        <f>Q18/J18</f>
        <v>4.0110223180232054E-3</v>
      </c>
      <c r="AB18" s="13">
        <f>R18/J18</f>
        <v>0.10186769965610733</v>
      </c>
      <c r="AC18" s="12">
        <f>S18/J18</f>
        <v>6.9793324432207551E-2</v>
      </c>
      <c r="AD18" s="12">
        <f>T18/J18</f>
        <v>-1.1495686199080028E-2</v>
      </c>
      <c r="AE18" s="19">
        <f>50*J18</f>
        <v>1365</v>
      </c>
      <c r="AF18" s="19">
        <f>70*J18</f>
        <v>1911</v>
      </c>
      <c r="AG18" s="19">
        <f>100*J18</f>
        <v>2730</v>
      </c>
      <c r="AH18" s="12">
        <f>(12*AE18)/L18</f>
        <v>0.19323329558323896</v>
      </c>
      <c r="AI18" s="12">
        <f>(12*AF18)/L18</f>
        <v>0.27052661381653453</v>
      </c>
      <c r="AJ18" s="15">
        <f>(12*AG18)/L18</f>
        <v>0.38646659116647791</v>
      </c>
      <c r="AK18" s="4">
        <v>0</v>
      </c>
      <c r="AL18" s="4" t="s">
        <v>301</v>
      </c>
    </row>
    <row r="19" spans="1:38" ht="15.75" thickBot="1" x14ac:dyDescent="0.3">
      <c r="A19" s="4" t="s">
        <v>49</v>
      </c>
      <c r="B19" s="4" t="s">
        <v>38</v>
      </c>
      <c r="C19" s="4" t="s">
        <v>39</v>
      </c>
      <c r="D19" s="4" t="s">
        <v>50</v>
      </c>
      <c r="E19" s="4">
        <v>61</v>
      </c>
      <c r="F19" s="4">
        <v>6323</v>
      </c>
      <c r="G19" s="4">
        <v>40.411912000000001</v>
      </c>
      <c r="H19" s="4">
        <v>-3.6731289999999999</v>
      </c>
      <c r="I19" s="4">
        <v>115.16</v>
      </c>
      <c r="J19" s="4">
        <v>23.1</v>
      </c>
      <c r="K19" s="3">
        <f t="shared" si="0"/>
        <v>2660.1959999999999</v>
      </c>
      <c r="L19" s="14">
        <v>84112</v>
      </c>
      <c r="M19" s="16">
        <f t="shared" si="1"/>
        <v>0.96473193104538979</v>
      </c>
      <c r="N19" s="5">
        <v>31955</v>
      </c>
      <c r="O19" s="4">
        <v>2.6389999999999998</v>
      </c>
      <c r="P19" s="3">
        <v>1.1724410486101959</v>
      </c>
      <c r="Q19" s="19">
        <f>Coeficiente!$E$19*(Sheet1!M19-Coeficiente!$B$5)</f>
        <v>-9.9421881247040822E-2</v>
      </c>
      <c r="R19" s="19">
        <f>Coeficiente!$E$21*(Sheet1!O19-Coeficiente!$B$6)</f>
        <v>1.9696188554903551</v>
      </c>
      <c r="S19" s="19">
        <f>Coeficiente!$E$20*(Sheet1!N19-Coeficiente!$B$7)</f>
        <v>1.9326009774461157</v>
      </c>
      <c r="T19" s="19">
        <f>Coeficiente!$E$22*(Sheet1!P19-Coeficiente!$B$8)</f>
        <v>-0.38305637500395856</v>
      </c>
      <c r="U19" s="19">
        <f t="shared" si="2"/>
        <v>3.4197415766854715</v>
      </c>
      <c r="V19" s="19">
        <f>Q19*I19</f>
        <v>-11.449423844409221</v>
      </c>
      <c r="W19" s="19">
        <f>R19*I19</f>
        <v>226.82130739826928</v>
      </c>
      <c r="X19" s="19">
        <f>S19*I19</f>
        <v>222.55832856269467</v>
      </c>
      <c r="Y19" s="19">
        <f>T19*I19</f>
        <v>-44.112772145455864</v>
      </c>
      <c r="Z19" s="19">
        <f t="shared" si="3"/>
        <v>393.81743997109891</v>
      </c>
      <c r="AA19" s="12">
        <f>Q19/J19</f>
        <v>-4.3039775431619404E-3</v>
      </c>
      <c r="AB19" s="13">
        <f>R19/J19</f>
        <v>8.5264885519062986E-2</v>
      </c>
      <c r="AC19" s="12">
        <f>S19/J19</f>
        <v>8.3662379976022314E-2</v>
      </c>
      <c r="AD19" s="12">
        <f>T19/J19</f>
        <v>-1.6582527056448422E-2</v>
      </c>
      <c r="AE19" s="19">
        <f>50*J19</f>
        <v>1155</v>
      </c>
      <c r="AF19" s="19">
        <f>70*J19</f>
        <v>1617</v>
      </c>
      <c r="AG19" s="19">
        <f>100*J19</f>
        <v>2310</v>
      </c>
      <c r="AH19" s="12">
        <f>(12*AE19)/L19</f>
        <v>0.16478029294274302</v>
      </c>
      <c r="AI19" s="12">
        <f>(12*AF19)/L19</f>
        <v>0.23069241011984021</v>
      </c>
      <c r="AJ19" s="15">
        <f>(12*AG19)/L19</f>
        <v>0.32956058588548603</v>
      </c>
      <c r="AK19" s="4">
        <v>0</v>
      </c>
      <c r="AL19" s="4" t="s">
        <v>301</v>
      </c>
    </row>
    <row r="20" spans="1:38" ht="15.75" thickBot="1" x14ac:dyDescent="0.3">
      <c r="A20" s="4" t="s">
        <v>51</v>
      </c>
      <c r="B20" s="4" t="s">
        <v>52</v>
      </c>
      <c r="C20" s="4" t="s">
        <v>53</v>
      </c>
      <c r="D20" s="4" t="s">
        <v>54</v>
      </c>
      <c r="E20" s="4">
        <v>313</v>
      </c>
      <c r="F20" s="4">
        <v>8948</v>
      </c>
      <c r="G20" s="4">
        <v>40.423839999999998</v>
      </c>
      <c r="H20" s="4">
        <v>-3.6856369999999998</v>
      </c>
      <c r="I20" s="4">
        <v>153.33000000000001</v>
      </c>
      <c r="J20" s="4">
        <v>31.6</v>
      </c>
      <c r="K20" s="3">
        <f t="shared" si="0"/>
        <v>4845.228000000001</v>
      </c>
      <c r="L20" s="14">
        <v>95138</v>
      </c>
      <c r="M20" s="16">
        <f t="shared" si="1"/>
        <v>3.4979883772910147</v>
      </c>
      <c r="N20" s="5">
        <v>36397</v>
      </c>
      <c r="O20" s="4">
        <v>1.7</v>
      </c>
      <c r="P20" s="3">
        <v>2.5632011249960049</v>
      </c>
      <c r="Q20" s="19">
        <f>Coeficiente!$E$19*(Sheet1!M20-Coeficiente!$B$5)</f>
        <v>0.19056486412306464</v>
      </c>
      <c r="R20" s="19">
        <f>Coeficiente!$E$21*(Sheet1!O20-Coeficiente!$B$6)</f>
        <v>2.7121878760254146</v>
      </c>
      <c r="S20" s="19">
        <f>Coeficiente!$E$20*(Sheet1!N20-Coeficiente!$B$7)</f>
        <v>2.7969894433383029</v>
      </c>
      <c r="T20" s="19">
        <f>Coeficiente!$E$22*(Sheet1!P20-Coeficiente!$B$8)</f>
        <v>-0.14936782589816394</v>
      </c>
      <c r="U20" s="19">
        <f t="shared" si="2"/>
        <v>5.550374357588618</v>
      </c>
      <c r="V20" s="19">
        <f>Q20*I20</f>
        <v>29.219310615989503</v>
      </c>
      <c r="W20" s="19">
        <f>R20*I20</f>
        <v>415.85976703097685</v>
      </c>
      <c r="X20" s="19">
        <f>S20*I20</f>
        <v>428.86239134706204</v>
      </c>
      <c r="Y20" s="19">
        <f>T20*I20</f>
        <v>-22.902568744965478</v>
      </c>
      <c r="Z20" s="19">
        <f t="shared" si="3"/>
        <v>851.03890024906286</v>
      </c>
      <c r="AA20" s="12">
        <f>Q20/J20</f>
        <v>6.030533674780526E-3</v>
      </c>
      <c r="AB20" s="13">
        <f>R20/J20</f>
        <v>8.582873025396881E-2</v>
      </c>
      <c r="AC20" s="12">
        <f>S20/J20</f>
        <v>8.8512324156275399E-2</v>
      </c>
      <c r="AD20" s="12">
        <f>T20/J20</f>
        <v>-4.7268299334862008E-3</v>
      </c>
      <c r="AE20" s="19">
        <f>50*J20</f>
        <v>1580</v>
      </c>
      <c r="AF20" s="19">
        <f>70*J20</f>
        <v>2212</v>
      </c>
      <c r="AG20" s="19">
        <f>100*J20</f>
        <v>3160</v>
      </c>
      <c r="AH20" s="12">
        <f>(12*AE20)/L20</f>
        <v>0.19928945321532932</v>
      </c>
      <c r="AI20" s="12">
        <f>(12*AF20)/L20</f>
        <v>0.27900523450146103</v>
      </c>
      <c r="AJ20" s="15">
        <f>(12*AG20)/L20</f>
        <v>0.39857890643065863</v>
      </c>
      <c r="AK20" s="4">
        <v>0</v>
      </c>
      <c r="AL20" s="4" t="s">
        <v>301</v>
      </c>
    </row>
    <row r="21" spans="1:38" ht="15.75" thickBot="1" x14ac:dyDescent="0.3">
      <c r="A21" s="4" t="s">
        <v>55</v>
      </c>
      <c r="B21" s="4" t="s">
        <v>52</v>
      </c>
      <c r="C21" s="4" t="s">
        <v>53</v>
      </c>
      <c r="D21" s="4" t="s">
        <v>56</v>
      </c>
      <c r="E21" s="4">
        <v>368</v>
      </c>
      <c r="F21" s="4">
        <v>16500</v>
      </c>
      <c r="G21" s="4">
        <v>40.425293000000003</v>
      </c>
      <c r="H21" s="4">
        <v>-3.6743960000000002</v>
      </c>
      <c r="I21" s="4">
        <v>102.06</v>
      </c>
      <c r="J21" s="4">
        <v>28.6</v>
      </c>
      <c r="K21" s="3">
        <f t="shared" si="0"/>
        <v>2918.9160000000002</v>
      </c>
      <c r="L21" s="14">
        <v>66270</v>
      </c>
      <c r="M21" s="16">
        <f t="shared" si="1"/>
        <v>2.2303030303030305</v>
      </c>
      <c r="N21" s="5">
        <v>28823</v>
      </c>
      <c r="O21" s="4">
        <v>2.6389999999999998</v>
      </c>
      <c r="P21" s="3">
        <v>3.0204818069430992</v>
      </c>
      <c r="Q21" s="19">
        <f>Coeficiente!$E$19*(Sheet1!M21-Coeficiente!$B$5)</f>
        <v>4.5450480432762702E-2</v>
      </c>
      <c r="R21" s="19">
        <f>Coeficiente!$E$21*(Sheet1!O21-Coeficiente!$B$6)</f>
        <v>1.9696188554903551</v>
      </c>
      <c r="S21" s="19">
        <f>Coeficiente!$E$20*(Sheet1!N21-Coeficiente!$B$7)</f>
        <v>1.3231312171637359</v>
      </c>
      <c r="T21" s="19">
        <f>Coeficiente!$E$22*(Sheet1!P21-Coeficiente!$B$8)</f>
        <v>-7.2531237824664668E-2</v>
      </c>
      <c r="U21" s="19">
        <f t="shared" si="2"/>
        <v>3.2656693152621892</v>
      </c>
      <c r="V21" s="19">
        <f>Q21*I21</f>
        <v>4.6386760329677612</v>
      </c>
      <c r="W21" s="19">
        <f>R21*I21</f>
        <v>201.01930039134564</v>
      </c>
      <c r="X21" s="19">
        <f>S21*I21</f>
        <v>135.0387720237309</v>
      </c>
      <c r="Y21" s="19">
        <f>T21*I21</f>
        <v>-7.4025381323852759</v>
      </c>
      <c r="Z21" s="19">
        <f t="shared" si="3"/>
        <v>333.29421031565903</v>
      </c>
      <c r="AA21" s="12">
        <f>Q21/J21</f>
        <v>1.5891776375091854E-3</v>
      </c>
      <c r="AB21" s="13">
        <f>R21/J21</f>
        <v>6.8867792150012416E-2</v>
      </c>
      <c r="AC21" s="12">
        <f>S21/J21</f>
        <v>4.6263329271459298E-2</v>
      </c>
      <c r="AD21" s="12">
        <f>T21/J21</f>
        <v>-2.5360572665966666E-3</v>
      </c>
      <c r="AE21" s="19">
        <f>50*J21</f>
        <v>1430</v>
      </c>
      <c r="AF21" s="19">
        <f>70*J21</f>
        <v>2002</v>
      </c>
      <c r="AG21" s="19">
        <f>100*J21</f>
        <v>2860</v>
      </c>
      <c r="AH21" s="12">
        <f>(12*AE21)/L21</f>
        <v>0.25894069714803081</v>
      </c>
      <c r="AI21" s="12">
        <f>(12*AF21)/L21</f>
        <v>0.36251697600724309</v>
      </c>
      <c r="AJ21" s="15">
        <f>(12*AG21)/L21</f>
        <v>0.51788139429606161</v>
      </c>
      <c r="AK21" s="4">
        <v>0</v>
      </c>
      <c r="AL21" s="4" t="s">
        <v>301</v>
      </c>
    </row>
    <row r="22" spans="1:38" ht="15.75" thickBot="1" x14ac:dyDescent="0.3">
      <c r="A22" s="4" t="s">
        <v>57</v>
      </c>
      <c r="B22" s="4" t="s">
        <v>52</v>
      </c>
      <c r="C22" s="4" t="s">
        <v>53</v>
      </c>
      <c r="D22" s="4" t="s">
        <v>58</v>
      </c>
      <c r="E22" s="4">
        <v>144</v>
      </c>
      <c r="F22" s="4">
        <v>10757</v>
      </c>
      <c r="G22" s="4">
        <v>40.425164000000002</v>
      </c>
      <c r="H22" s="4">
        <v>-3.6642139999999999</v>
      </c>
      <c r="I22" s="4">
        <v>75.319999999999993</v>
      </c>
      <c r="J22" s="4">
        <v>25</v>
      </c>
      <c r="K22" s="3">
        <f t="shared" si="0"/>
        <v>1882.9999999999998</v>
      </c>
      <c r="L22" s="14">
        <v>54409</v>
      </c>
      <c r="M22" s="16">
        <f t="shared" si="1"/>
        <v>1.3386631960583806</v>
      </c>
      <c r="N22" s="5">
        <v>23926</v>
      </c>
      <c r="O22" s="4">
        <v>3.4580000000000002</v>
      </c>
      <c r="P22" s="3">
        <v>2.4541035442918502</v>
      </c>
      <c r="Q22" s="19">
        <f>Coeficiente!$E$19*(Sheet1!M22-Coeficiente!$B$5)</f>
        <v>-5.6617249014110659E-2</v>
      </c>
      <c r="R22" s="19">
        <f>Coeficiente!$E$21*(Sheet1!O22-Coeficiente!$B$6)</f>
        <v>1.3219468343846954</v>
      </c>
      <c r="S22" s="19">
        <f>Coeficiente!$E$20*(Sheet1!N22-Coeficiente!$B$7)</f>
        <v>0.3702022848192873</v>
      </c>
      <c r="T22" s="19">
        <f>Coeficiente!$E$22*(Sheet1!P22-Coeficiente!$B$8)</f>
        <v>-0.16769942440936089</v>
      </c>
      <c r="U22" s="19">
        <f t="shared" si="2"/>
        <v>1.4678324457805112</v>
      </c>
      <c r="V22" s="19">
        <f>Q22*I22</f>
        <v>-4.2644111957428148</v>
      </c>
      <c r="W22" s="19">
        <f>R22*I22</f>
        <v>99.569035565855245</v>
      </c>
      <c r="X22" s="19">
        <f>S22*I22</f>
        <v>27.883636092588716</v>
      </c>
      <c r="Y22" s="19">
        <f>T22*I22</f>
        <v>-12.631120646513061</v>
      </c>
      <c r="Z22" s="19">
        <f t="shared" si="3"/>
        <v>110.55713981618808</v>
      </c>
      <c r="AA22" s="12">
        <f>Q22/J22</f>
        <v>-2.2646899605644265E-3</v>
      </c>
      <c r="AB22" s="13">
        <f>R22/J22</f>
        <v>5.2877873375387817E-2</v>
      </c>
      <c r="AC22" s="12">
        <f>S22/J22</f>
        <v>1.4808091392771491E-2</v>
      </c>
      <c r="AD22" s="12">
        <f>T22/J22</f>
        <v>-6.7079769763744353E-3</v>
      </c>
      <c r="AE22" s="19">
        <f>50*J22</f>
        <v>1250</v>
      </c>
      <c r="AF22" s="19">
        <f>70*J22</f>
        <v>1750</v>
      </c>
      <c r="AG22" s="19">
        <f>100*J22</f>
        <v>2500</v>
      </c>
      <c r="AH22" s="12">
        <f>(12*AE22)/L22</f>
        <v>0.27568968369203622</v>
      </c>
      <c r="AI22" s="12">
        <f>(12*AF22)/L22</f>
        <v>0.38596555716885073</v>
      </c>
      <c r="AJ22" s="15">
        <f>(12*AG22)/L22</f>
        <v>0.55137936738407245</v>
      </c>
      <c r="AK22" s="4">
        <v>0</v>
      </c>
      <c r="AL22" s="4" t="s">
        <v>301</v>
      </c>
    </row>
    <row r="23" spans="1:38" ht="15.75" thickBot="1" x14ac:dyDescent="0.3">
      <c r="A23" s="4" t="s">
        <v>59</v>
      </c>
      <c r="B23" s="4" t="s">
        <v>52</v>
      </c>
      <c r="C23" s="4" t="s">
        <v>53</v>
      </c>
      <c r="D23" s="4" t="s">
        <v>60</v>
      </c>
      <c r="E23" s="4">
        <v>391</v>
      </c>
      <c r="F23" s="4">
        <v>20942</v>
      </c>
      <c r="G23" s="4">
        <v>40.436275999999999</v>
      </c>
      <c r="H23" s="4">
        <v>-3.6679569999999999</v>
      </c>
      <c r="I23" s="4">
        <v>78.56</v>
      </c>
      <c r="J23" s="4">
        <v>24.5</v>
      </c>
      <c r="K23" s="3">
        <f t="shared" si="0"/>
        <v>1924.72</v>
      </c>
      <c r="L23" s="14">
        <v>59568</v>
      </c>
      <c r="M23" s="16">
        <f t="shared" si="1"/>
        <v>1.8670614076974501</v>
      </c>
      <c r="N23" s="5">
        <v>25573</v>
      </c>
      <c r="O23" s="4">
        <v>3.7029999999999998</v>
      </c>
      <c r="P23" s="3">
        <v>2.2175352602245808</v>
      </c>
      <c r="Q23" s="19">
        <f>Coeficiente!$E$19*(Sheet1!M23-Coeficiente!$B$5)</f>
        <v>3.8695121583272717E-3</v>
      </c>
      <c r="R23" s="19">
        <f>Coeficiente!$E$21*(Sheet1!O23-Coeficiente!$B$6)</f>
        <v>1.1281987938830027</v>
      </c>
      <c r="S23" s="19">
        <f>Coeficiente!$E$20*(Sheet1!N23-Coeficiente!$B$7)</f>
        <v>0.69069931393329731</v>
      </c>
      <c r="T23" s="19">
        <f>Coeficiente!$E$22*(Sheet1!P23-Coeficiente!$B$8)</f>
        <v>-0.20744984578455114</v>
      </c>
      <c r="U23" s="19">
        <f t="shared" si="2"/>
        <v>1.6153177741900762</v>
      </c>
      <c r="V23" s="19">
        <f>Q23*I23</f>
        <v>0.30398887515819045</v>
      </c>
      <c r="W23" s="19">
        <f>R23*I23</f>
        <v>88.6312972474487</v>
      </c>
      <c r="X23" s="19">
        <f>S23*I23</f>
        <v>54.261338102599836</v>
      </c>
      <c r="Y23" s="19">
        <f>T23*I23</f>
        <v>-16.29725988483434</v>
      </c>
      <c r="Z23" s="19">
        <f t="shared" si="3"/>
        <v>126.89936434037239</v>
      </c>
      <c r="AA23" s="12">
        <f>Q23/J23</f>
        <v>1.5793927176846007E-4</v>
      </c>
      <c r="AB23" s="13">
        <f>R23/J23</f>
        <v>4.6048930362571537E-2</v>
      </c>
      <c r="AC23" s="12">
        <f>S23/J23</f>
        <v>2.8191808731971319E-2</v>
      </c>
      <c r="AD23" s="12">
        <f>T23/J23</f>
        <v>-8.4673406442673932E-3</v>
      </c>
      <c r="AE23" s="19">
        <f>50*J23</f>
        <v>1225</v>
      </c>
      <c r="AF23" s="19">
        <f>70*J23</f>
        <v>1715</v>
      </c>
      <c r="AG23" s="19">
        <f>100*J23</f>
        <v>2450</v>
      </c>
      <c r="AH23" s="12">
        <f>(12*AE23)/L23</f>
        <v>0.24677679290894439</v>
      </c>
      <c r="AI23" s="12">
        <f>(12*AF23)/L23</f>
        <v>0.34548751007252215</v>
      </c>
      <c r="AJ23" s="15">
        <f>(12*AG23)/L23</f>
        <v>0.49355358581788877</v>
      </c>
      <c r="AK23" s="4">
        <v>0</v>
      </c>
      <c r="AL23" s="4" t="s">
        <v>301</v>
      </c>
    </row>
    <row r="24" spans="1:38" ht="15.75" thickBot="1" x14ac:dyDescent="0.3">
      <c r="A24" s="4" t="s">
        <v>61</v>
      </c>
      <c r="B24" s="4" t="s">
        <v>52</v>
      </c>
      <c r="C24" s="4" t="s">
        <v>53</v>
      </c>
      <c r="D24" s="4" t="s">
        <v>62</v>
      </c>
      <c r="E24" s="4">
        <v>207</v>
      </c>
      <c r="F24" s="4">
        <v>11257</v>
      </c>
      <c r="G24" s="4">
        <v>40.432898999999999</v>
      </c>
      <c r="H24" s="4">
        <v>-3.6762239999999999</v>
      </c>
      <c r="I24" s="4">
        <v>97.43</v>
      </c>
      <c r="J24" s="4">
        <v>28</v>
      </c>
      <c r="K24" s="3">
        <f t="shared" si="0"/>
        <v>2728.04</v>
      </c>
      <c r="L24" s="14">
        <v>66700</v>
      </c>
      <c r="M24" s="16">
        <f t="shared" si="1"/>
        <v>1.8388558230434398</v>
      </c>
      <c r="N24" s="5">
        <v>28960</v>
      </c>
      <c r="O24" s="4">
        <v>2.9159999999999999</v>
      </c>
      <c r="P24" s="3">
        <v>2.528546203649205</v>
      </c>
      <c r="Q24" s="19">
        <f>Coeficiente!$E$19*(Sheet1!M24-Coeficiente!$B$5)</f>
        <v>6.4076454882276094E-4</v>
      </c>
      <c r="R24" s="19">
        <f>Coeficiente!$E$21*(Sheet1!O24-Coeficiente!$B$6)</f>
        <v>1.750564948474155</v>
      </c>
      <c r="S24" s="19">
        <f>Coeficiente!$E$20*(Sheet1!N24-Coeficiente!$B$7)</f>
        <v>1.349790654315296</v>
      </c>
      <c r="T24" s="19">
        <f>Coeficiente!$E$22*(Sheet1!P24-Coeficiente!$B$8)</f>
        <v>-0.15519087073991314</v>
      </c>
      <c r="U24" s="19">
        <f t="shared" si="2"/>
        <v>2.9458054965983607</v>
      </c>
      <c r="V24" s="19">
        <f>Q24*I24</f>
        <v>6.2429689991801603E-2</v>
      </c>
      <c r="W24" s="19">
        <f>R24*I24</f>
        <v>170.55754292983693</v>
      </c>
      <c r="X24" s="19">
        <f>S24*I24</f>
        <v>131.51010344993929</v>
      </c>
      <c r="Y24" s="19">
        <f>T24*I24</f>
        <v>-15.120246536189738</v>
      </c>
      <c r="Z24" s="19">
        <f t="shared" si="3"/>
        <v>287.00982953357834</v>
      </c>
      <c r="AA24" s="12">
        <f>Q24/J24</f>
        <v>2.2884448172241462E-5</v>
      </c>
      <c r="AB24" s="13">
        <f>R24/J24</f>
        <v>6.2520176731219818E-2</v>
      </c>
      <c r="AC24" s="12">
        <f>S24/J24</f>
        <v>4.8206809082689143E-2</v>
      </c>
      <c r="AD24" s="12">
        <f>T24/J24</f>
        <v>-5.5425310978540407E-3</v>
      </c>
      <c r="AE24" s="19">
        <f>50*J24</f>
        <v>1400</v>
      </c>
      <c r="AF24" s="19">
        <f>70*J24</f>
        <v>1960</v>
      </c>
      <c r="AG24" s="19">
        <f>100*J24</f>
        <v>2800</v>
      </c>
      <c r="AH24" s="12">
        <f>(12*AE24)/L24</f>
        <v>0.25187406296851572</v>
      </c>
      <c r="AI24" s="12">
        <f>(12*AF24)/L24</f>
        <v>0.35262368815592204</v>
      </c>
      <c r="AJ24" s="15">
        <f>(12*AG24)/L24</f>
        <v>0.50374812593703144</v>
      </c>
      <c r="AK24" s="4">
        <v>0</v>
      </c>
      <c r="AL24" s="4" t="s">
        <v>301</v>
      </c>
    </row>
    <row r="25" spans="1:38" ht="15.75" thickBot="1" x14ac:dyDescent="0.3">
      <c r="A25" s="4" t="s">
        <v>63</v>
      </c>
      <c r="B25" s="4" t="s">
        <v>52</v>
      </c>
      <c r="C25" s="4" t="s">
        <v>53</v>
      </c>
      <c r="D25" s="4" t="s">
        <v>64</v>
      </c>
      <c r="E25" s="4">
        <v>181</v>
      </c>
      <c r="F25" s="4">
        <v>8673</v>
      </c>
      <c r="G25" s="4">
        <v>40.433377999999998</v>
      </c>
      <c r="H25" s="4">
        <v>-3.683964</v>
      </c>
      <c r="I25" s="4">
        <v>144.35</v>
      </c>
      <c r="J25" s="4">
        <v>30</v>
      </c>
      <c r="K25" s="3">
        <f t="shared" si="0"/>
        <v>4330.5</v>
      </c>
      <c r="L25" s="14">
        <v>88867</v>
      </c>
      <c r="M25" s="16">
        <f t="shared" si="1"/>
        <v>2.0869364695030557</v>
      </c>
      <c r="N25" s="5">
        <v>34843</v>
      </c>
      <c r="O25" s="4">
        <v>2.4660000000000002</v>
      </c>
      <c r="P25" s="3">
        <v>4.4667880153708346</v>
      </c>
      <c r="Q25" s="19">
        <f>Coeficiente!$E$19*(Sheet1!M25-Coeficiente!$B$5)</f>
        <v>2.9039034042127931E-2</v>
      </c>
      <c r="R25" s="19">
        <f>Coeficiente!$E$21*(Sheet1!O25-Coeficiente!$B$6)</f>
        <v>2.1064286963344072</v>
      </c>
      <c r="S25" s="19">
        <f>Coeficiente!$E$20*(Sheet1!N25-Coeficiente!$B$7)</f>
        <v>2.4945896963782719</v>
      </c>
      <c r="T25" s="19">
        <f>Coeficiente!$E$22*(Sheet1!P25-Coeficiente!$B$8)</f>
        <v>0.17049069323946839</v>
      </c>
      <c r="U25" s="19">
        <f t="shared" si="2"/>
        <v>4.800548119994275</v>
      </c>
      <c r="V25" s="19">
        <f>Q25*I25</f>
        <v>4.1917845639811668</v>
      </c>
      <c r="W25" s="19">
        <f>R25*I25</f>
        <v>304.06298231587169</v>
      </c>
      <c r="X25" s="19">
        <f>S25*I25</f>
        <v>360.09402267220355</v>
      </c>
      <c r="Y25" s="19">
        <f>T25*I25</f>
        <v>24.61033156911726</v>
      </c>
      <c r="Z25" s="19">
        <f t="shared" si="3"/>
        <v>692.95912112117367</v>
      </c>
      <c r="AA25" s="12">
        <f>Q25/J25</f>
        <v>9.6796780140426437E-4</v>
      </c>
      <c r="AB25" s="13">
        <f>R25/J25</f>
        <v>7.0214289877813571E-2</v>
      </c>
      <c r="AC25" s="12">
        <f>S25/J25</f>
        <v>8.3152989879275732E-2</v>
      </c>
      <c r="AD25" s="12">
        <f>T25/J25</f>
        <v>5.68302310798228E-3</v>
      </c>
      <c r="AE25" s="19">
        <f>50*J25</f>
        <v>1500</v>
      </c>
      <c r="AF25" s="19">
        <f>70*J25</f>
        <v>2100</v>
      </c>
      <c r="AG25" s="19">
        <f>100*J25</f>
        <v>3000</v>
      </c>
      <c r="AH25" s="12">
        <f>(12*AE25)/L25</f>
        <v>0.2025498779074347</v>
      </c>
      <c r="AI25" s="12">
        <f>(12*AF25)/L25</f>
        <v>0.28356982907040856</v>
      </c>
      <c r="AJ25" s="15">
        <f>(12*AG25)/L25</f>
        <v>0.4050997558148694</v>
      </c>
      <c r="AK25" s="4">
        <v>0</v>
      </c>
      <c r="AL25" s="4" t="s">
        <v>301</v>
      </c>
    </row>
    <row r="26" spans="1:38" ht="15.75" thickBot="1" x14ac:dyDescent="0.3">
      <c r="A26" s="4" t="s">
        <v>65</v>
      </c>
      <c r="B26" s="4" t="s">
        <v>66</v>
      </c>
      <c r="C26" s="4" t="s">
        <v>67</v>
      </c>
      <c r="D26" s="4" t="s">
        <v>68</v>
      </c>
      <c r="E26" s="4">
        <v>88</v>
      </c>
      <c r="F26" s="4">
        <v>7323</v>
      </c>
      <c r="G26" s="4">
        <v>40.445224000000003</v>
      </c>
      <c r="H26" s="4">
        <v>-3.6848399999999999</v>
      </c>
      <c r="I26" s="4">
        <v>148.49</v>
      </c>
      <c r="J26" s="4">
        <v>25.8</v>
      </c>
      <c r="K26" s="3">
        <f t="shared" si="0"/>
        <v>3831.0420000000004</v>
      </c>
      <c r="L26" s="14">
        <v>96456</v>
      </c>
      <c r="M26" s="16">
        <f t="shared" si="1"/>
        <v>1.2016932950976376</v>
      </c>
      <c r="N26" s="5">
        <v>35797</v>
      </c>
      <c r="O26" s="4">
        <v>3.516</v>
      </c>
      <c r="P26" s="3">
        <v>1.556621384876073</v>
      </c>
      <c r="Q26" s="19">
        <f>Coeficiente!$E$19*(Sheet1!M26-Coeficiente!$B$5)</f>
        <v>-7.2296457430667607E-2</v>
      </c>
      <c r="R26" s="19">
        <f>Coeficiente!$E$21*(Sheet1!O26-Coeficiente!$B$6)</f>
        <v>1.2760799513271519</v>
      </c>
      <c r="S26" s="19">
        <f>Coeficiente!$E$20*(Sheet1!N26-Coeficiente!$B$7)</f>
        <v>2.6802327842803759</v>
      </c>
      <c r="T26" s="19">
        <f>Coeficiente!$E$22*(Sheet1!P26-Coeficiente!$B$8)</f>
        <v>-0.31850279246924984</v>
      </c>
      <c r="U26" s="19">
        <f t="shared" si="2"/>
        <v>3.5655134857076103</v>
      </c>
      <c r="V26" s="19">
        <f>Q26*I26</f>
        <v>-10.735300963879833</v>
      </c>
      <c r="W26" s="19">
        <f>R26*I26</f>
        <v>189.4851119725688</v>
      </c>
      <c r="X26" s="19">
        <f>S26*I26</f>
        <v>397.98776613779307</v>
      </c>
      <c r="Y26" s="19">
        <f>T26*I26</f>
        <v>-47.294479653758913</v>
      </c>
      <c r="Z26" s="19">
        <f t="shared" si="3"/>
        <v>529.44309749272315</v>
      </c>
      <c r="AA26" s="12">
        <f>Q26/J26</f>
        <v>-2.8021882725064963E-3</v>
      </c>
      <c r="AB26" s="13">
        <f>R26/J26</f>
        <v>4.9460463229734568E-2</v>
      </c>
      <c r="AC26" s="12">
        <f>S26/J26</f>
        <v>0.10388499163877425</v>
      </c>
      <c r="AD26" s="12">
        <f>T26/J26</f>
        <v>-1.2345069475552318E-2</v>
      </c>
      <c r="AE26" s="19">
        <f>50*J26</f>
        <v>1290</v>
      </c>
      <c r="AF26" s="19">
        <f>70*J26</f>
        <v>1806</v>
      </c>
      <c r="AG26" s="19">
        <f>100*J26</f>
        <v>2580</v>
      </c>
      <c r="AH26" s="12">
        <f>(12*AE26)/L26</f>
        <v>0.16048768350335904</v>
      </c>
      <c r="AI26" s="12">
        <f>(12*AF26)/L26</f>
        <v>0.22468275690470266</v>
      </c>
      <c r="AJ26" s="15">
        <f>(12*AG26)/L26</f>
        <v>0.32097536700671808</v>
      </c>
      <c r="AK26" s="4">
        <v>0</v>
      </c>
      <c r="AL26" s="4" t="s">
        <v>301</v>
      </c>
    </row>
    <row r="27" spans="1:38" ht="15.75" thickBot="1" x14ac:dyDescent="0.3">
      <c r="A27" s="4" t="s">
        <v>69</v>
      </c>
      <c r="B27" s="4" t="s">
        <v>66</v>
      </c>
      <c r="C27" s="4" t="s">
        <v>67</v>
      </c>
      <c r="D27" s="4" t="s">
        <v>70</v>
      </c>
      <c r="E27" s="4">
        <v>238</v>
      </c>
      <c r="F27" s="4">
        <v>18979</v>
      </c>
      <c r="G27" s="4">
        <v>40.445439999999998</v>
      </c>
      <c r="H27" s="4">
        <v>-3.6666590000000001</v>
      </c>
      <c r="I27" s="4">
        <v>77.510000000000005</v>
      </c>
      <c r="J27" s="4">
        <v>22.3</v>
      </c>
      <c r="K27" s="3">
        <f t="shared" si="0"/>
        <v>1728.4730000000002</v>
      </c>
      <c r="L27" s="14">
        <v>55947</v>
      </c>
      <c r="M27" s="16">
        <f t="shared" si="1"/>
        <v>1.2540175983982296</v>
      </c>
      <c r="N27" s="5">
        <v>24830</v>
      </c>
      <c r="O27" s="4">
        <v>4.4480000000000004</v>
      </c>
      <c r="P27" s="3">
        <v>2.5593248205184409</v>
      </c>
      <c r="Q27" s="19">
        <f>Coeficiente!$E$19*(Sheet1!M27-Coeficiente!$B$5)</f>
        <v>-6.6306793636311381E-2</v>
      </c>
      <c r="R27" s="19">
        <f>Coeficiente!$E$21*(Sheet1!O27-Coeficiente!$B$6)</f>
        <v>0.53904658909213998</v>
      </c>
      <c r="S27" s="19">
        <f>Coeficiente!$E$20*(Sheet1!N27-Coeficiente!$B$7)</f>
        <v>0.54611565113323091</v>
      </c>
      <c r="T27" s="19">
        <f>Coeficiente!$E$22*(Sheet1!P27-Coeficiente!$B$8)</f>
        <v>-0.15001915892435225</v>
      </c>
      <c r="U27" s="19">
        <f t="shared" si="2"/>
        <v>0.86883628766470733</v>
      </c>
      <c r="V27" s="19">
        <f>Q27*I27</f>
        <v>-5.1394395747504955</v>
      </c>
      <c r="W27" s="19">
        <f>R27*I27</f>
        <v>41.781501120531772</v>
      </c>
      <c r="X27" s="19">
        <f>S27*I27</f>
        <v>42.329424119336728</v>
      </c>
      <c r="Y27" s="19">
        <f>T27*I27</f>
        <v>-11.627985008226544</v>
      </c>
      <c r="Z27" s="19">
        <f t="shared" si="3"/>
        <v>67.34350065689145</v>
      </c>
      <c r="AA27" s="12">
        <f>Q27/J27</f>
        <v>-2.9733988177718107E-3</v>
      </c>
      <c r="AB27" s="13">
        <f>R27/J27</f>
        <v>2.4172492784400895E-2</v>
      </c>
      <c r="AC27" s="12">
        <f>S27/J27</f>
        <v>2.4489491082207663E-2</v>
      </c>
      <c r="AD27" s="12">
        <f>T27/J27</f>
        <v>-6.7273165436929254E-3</v>
      </c>
      <c r="AE27" s="19">
        <f>50*J27</f>
        <v>1115</v>
      </c>
      <c r="AF27" s="19">
        <f>70*J27</f>
        <v>1561</v>
      </c>
      <c r="AG27" s="19">
        <f>100*J27</f>
        <v>2230</v>
      </c>
      <c r="AH27" s="12">
        <f>(12*AE27)/L27</f>
        <v>0.23915491447262588</v>
      </c>
      <c r="AI27" s="12">
        <f>(12*AF27)/L27</f>
        <v>0.33481688026167622</v>
      </c>
      <c r="AJ27" s="15">
        <f>(12*AG27)/L27</f>
        <v>0.47830982894525176</v>
      </c>
      <c r="AK27" s="4">
        <v>0</v>
      </c>
      <c r="AL27" s="4" t="s">
        <v>301</v>
      </c>
    </row>
    <row r="28" spans="1:38" ht="15.75" thickBot="1" x14ac:dyDescent="0.3">
      <c r="A28" s="4" t="s">
        <v>71</v>
      </c>
      <c r="B28" s="4" t="s">
        <v>66</v>
      </c>
      <c r="C28" s="4" t="s">
        <v>67</v>
      </c>
      <c r="D28" s="4" t="s">
        <v>72</v>
      </c>
      <c r="E28" s="4">
        <v>100</v>
      </c>
      <c r="F28" s="4">
        <v>9342</v>
      </c>
      <c r="G28" s="4">
        <v>40.446893000000003</v>
      </c>
      <c r="H28" s="4">
        <v>-3.6740300000000001</v>
      </c>
      <c r="I28" s="4">
        <v>77.98</v>
      </c>
      <c r="J28" s="4">
        <v>24.1</v>
      </c>
      <c r="K28" s="3">
        <f t="shared" si="0"/>
        <v>1879.3180000000002</v>
      </c>
      <c r="L28" s="14">
        <v>56896</v>
      </c>
      <c r="M28" s="16">
        <f t="shared" si="1"/>
        <v>1.0704345964461572</v>
      </c>
      <c r="N28" s="5">
        <v>24765</v>
      </c>
      <c r="O28" s="4">
        <v>4.1609999999999996</v>
      </c>
      <c r="P28" s="3">
        <v>2.216821131914211</v>
      </c>
      <c r="Q28" s="19">
        <f>Coeficiente!$E$19*(Sheet1!M28-Coeficiente!$B$5)</f>
        <v>-8.7321893517041477E-2</v>
      </c>
      <c r="R28" s="19">
        <f>Coeficiente!$E$21*(Sheet1!O28-Coeficiente!$B$6)</f>
        <v>0.76600857939412381</v>
      </c>
      <c r="S28" s="19">
        <f>Coeficiente!$E$20*(Sheet1!N28-Coeficiente!$B$7)</f>
        <v>0.5334670130686221</v>
      </c>
      <c r="T28" s="19">
        <f>Coeficiente!$E$22*(Sheet1!P28-Coeficiente!$B$8)</f>
        <v>-0.20756984031959658</v>
      </c>
      <c r="U28" s="19">
        <f t="shared" si="2"/>
        <v>1.0045838586261078</v>
      </c>
      <c r="V28" s="19">
        <f>Q28*I28</f>
        <v>-6.809361256458895</v>
      </c>
      <c r="W28" s="19">
        <f>R28*I28</f>
        <v>59.733349021153778</v>
      </c>
      <c r="X28" s="19">
        <f>S28*I28</f>
        <v>41.599757679091155</v>
      </c>
      <c r="Y28" s="19">
        <f>T28*I28</f>
        <v>-16.186296148122143</v>
      </c>
      <c r="Z28" s="19">
        <f t="shared" si="3"/>
        <v>78.337449295663902</v>
      </c>
      <c r="AA28" s="12">
        <f>Q28/J28</f>
        <v>-3.6233150836946669E-3</v>
      </c>
      <c r="AB28" s="13">
        <f>R28/J28</f>
        <v>3.1784588356602646E-2</v>
      </c>
      <c r="AC28" s="12">
        <f>S28/J28</f>
        <v>2.2135560708241579E-2</v>
      </c>
      <c r="AD28" s="12">
        <f>T28/J28</f>
        <v>-8.6128564447965385E-3</v>
      </c>
      <c r="AE28" s="19">
        <f>50*J28</f>
        <v>1205</v>
      </c>
      <c r="AF28" s="19">
        <f>70*J28</f>
        <v>1687</v>
      </c>
      <c r="AG28" s="19">
        <f>100*J28</f>
        <v>2410</v>
      </c>
      <c r="AH28" s="12">
        <f>(12*AE28)/L28</f>
        <v>0.25414791901012374</v>
      </c>
      <c r="AI28" s="12">
        <f>(12*AF28)/L28</f>
        <v>0.35580708661417321</v>
      </c>
      <c r="AJ28" s="15">
        <f>(12*AG28)/L28</f>
        <v>0.50829583802024747</v>
      </c>
      <c r="AK28" s="4">
        <v>0</v>
      </c>
      <c r="AL28" s="4" t="s">
        <v>301</v>
      </c>
    </row>
    <row r="29" spans="1:38" ht="15.75" thickBot="1" x14ac:dyDescent="0.3">
      <c r="A29" s="4" t="s">
        <v>73</v>
      </c>
      <c r="B29" s="4" t="s">
        <v>66</v>
      </c>
      <c r="C29" s="4" t="s">
        <v>67</v>
      </c>
      <c r="D29" s="4" t="s">
        <v>74</v>
      </c>
      <c r="E29" s="4">
        <v>131</v>
      </c>
      <c r="F29" s="4">
        <v>14159</v>
      </c>
      <c r="G29" s="4">
        <v>40.455609000000003</v>
      </c>
      <c r="H29" s="4">
        <v>-3.6769609999999999</v>
      </c>
      <c r="I29" s="4">
        <v>108.67</v>
      </c>
      <c r="J29" s="4">
        <v>24.3</v>
      </c>
      <c r="K29" s="3">
        <f t="shared" si="0"/>
        <v>2640.681</v>
      </c>
      <c r="L29" s="14">
        <v>80976</v>
      </c>
      <c r="M29" s="16">
        <f t="shared" si="1"/>
        <v>0.92520658238576181</v>
      </c>
      <c r="N29" s="5">
        <v>31917</v>
      </c>
      <c r="O29" s="4">
        <v>4.8470000000000004</v>
      </c>
      <c r="P29" s="3">
        <v>1.7138176548421651</v>
      </c>
      <c r="Q29" s="19">
        <f>Coeficiente!$E$19*(Sheet1!M29-Coeficiente!$B$5)</f>
        <v>-0.10394642404822899</v>
      </c>
      <c r="R29" s="19">
        <f>Coeficiente!$E$21*(Sheet1!O29-Coeficiente!$B$6)</f>
        <v>0.22351406598938287</v>
      </c>
      <c r="S29" s="19">
        <f>Coeficiente!$E$20*(Sheet1!N29-Coeficiente!$B$7)</f>
        <v>1.9252063890391136</v>
      </c>
      <c r="T29" s="19">
        <f>Coeficiente!$E$22*(Sheet1!P29-Coeficiente!$B$8)</f>
        <v>-0.29208920116981985</v>
      </c>
      <c r="U29" s="19">
        <f t="shared" si="2"/>
        <v>1.7526848298104478</v>
      </c>
      <c r="V29" s="19">
        <f>Q29*I29</f>
        <v>-11.295857901321044</v>
      </c>
      <c r="W29" s="19">
        <f>R29*I29</f>
        <v>24.289273551066238</v>
      </c>
      <c r="X29" s="19">
        <f>S29*I29</f>
        <v>209.21217829688047</v>
      </c>
      <c r="Y29" s="19">
        <f>T29*I29</f>
        <v>-31.741333491124323</v>
      </c>
      <c r="Z29" s="19">
        <f t="shared" si="3"/>
        <v>190.46426045550135</v>
      </c>
      <c r="AA29" s="12">
        <f>Q29/J29</f>
        <v>-4.2776306192686825E-3</v>
      </c>
      <c r="AB29" s="13">
        <f>R29/J29</f>
        <v>9.1981097114972373E-3</v>
      </c>
      <c r="AC29" s="12">
        <f>S29/J29</f>
        <v>7.9226600371979983E-2</v>
      </c>
      <c r="AD29" s="12">
        <f>T29/J29</f>
        <v>-1.2020131735383532E-2</v>
      </c>
      <c r="AE29" s="19">
        <f>50*J29</f>
        <v>1215</v>
      </c>
      <c r="AF29" s="19">
        <f>70*J29</f>
        <v>1701</v>
      </c>
      <c r="AG29" s="19">
        <f>100*J29</f>
        <v>2430</v>
      </c>
      <c r="AH29" s="12">
        <f>(12*AE29)/L29</f>
        <v>0.18005334914048607</v>
      </c>
      <c r="AI29" s="12">
        <f>(12*AF29)/L29</f>
        <v>0.25207468879668049</v>
      </c>
      <c r="AJ29" s="15">
        <f>(12*AG29)/L29</f>
        <v>0.36010669828097214</v>
      </c>
      <c r="AK29" s="4">
        <v>0</v>
      </c>
      <c r="AL29" s="4" t="s">
        <v>301</v>
      </c>
    </row>
    <row r="30" spans="1:38" ht="15.75" thickBot="1" x14ac:dyDescent="0.3">
      <c r="A30" s="4" t="s">
        <v>75</v>
      </c>
      <c r="B30" s="4" t="s">
        <v>66</v>
      </c>
      <c r="C30" s="4" t="s">
        <v>67</v>
      </c>
      <c r="D30" s="4" t="s">
        <v>76</v>
      </c>
      <c r="E30" s="4">
        <v>164</v>
      </c>
      <c r="F30" s="4">
        <v>10833</v>
      </c>
      <c r="G30" s="4">
        <v>40.462772999999999</v>
      </c>
      <c r="H30" s="4">
        <v>-3.6780330000000001</v>
      </c>
      <c r="I30" s="4">
        <v>126.25</v>
      </c>
      <c r="J30" s="4">
        <v>23.6</v>
      </c>
      <c r="K30" s="3">
        <f t="shared" si="0"/>
        <v>2979.5</v>
      </c>
      <c r="L30" s="14">
        <v>92935</v>
      </c>
      <c r="M30" s="16">
        <f t="shared" si="1"/>
        <v>1.5138927351610818</v>
      </c>
      <c r="N30" s="5">
        <v>34371</v>
      </c>
      <c r="O30" s="4">
        <v>5.5270000000000001</v>
      </c>
      <c r="P30" s="3">
        <v>2.3308893332525402</v>
      </c>
      <c r="Q30" s="19">
        <f>Coeficiente!$E$19*(Sheet1!M30-Coeficiente!$B$5)</f>
        <v>-3.6558386117539546E-2</v>
      </c>
      <c r="R30" s="19">
        <f>Coeficiente!$E$21*(Sheet1!O30-Coeficiente!$B$6)</f>
        <v>-0.31423559744388718</v>
      </c>
      <c r="S30" s="19">
        <f>Coeficiente!$E$20*(Sheet1!N30-Coeficiente!$B$7)</f>
        <v>2.4027411245860355</v>
      </c>
      <c r="T30" s="19">
        <f>Coeficiente!$E$22*(Sheet1!P30-Coeficiente!$B$8)</f>
        <v>-0.18840303152024254</v>
      </c>
      <c r="U30" s="19">
        <f t="shared" si="2"/>
        <v>1.8635441095043661</v>
      </c>
      <c r="V30" s="19">
        <f>Q30*I30</f>
        <v>-4.6154962473393679</v>
      </c>
      <c r="W30" s="19">
        <f>R30*I30</f>
        <v>-39.672244177290757</v>
      </c>
      <c r="X30" s="19">
        <f>S30*I30</f>
        <v>303.34606697898698</v>
      </c>
      <c r="Y30" s="19">
        <f>T30*I30</f>
        <v>-23.785882729430622</v>
      </c>
      <c r="Z30" s="19">
        <f t="shared" si="3"/>
        <v>235.27244382492626</v>
      </c>
      <c r="AA30" s="12">
        <f>Q30/J30</f>
        <v>-1.549084157522862E-3</v>
      </c>
      <c r="AB30" s="13">
        <f>R30/J30</f>
        <v>-1.3315067688300304E-2</v>
      </c>
      <c r="AC30" s="12">
        <f>S30/J30</f>
        <v>0.10181106460110319</v>
      </c>
      <c r="AD30" s="12">
        <f>T30/J30</f>
        <v>-7.983179301705192E-3</v>
      </c>
      <c r="AE30" s="19">
        <f>50*J30</f>
        <v>1180</v>
      </c>
      <c r="AF30" s="19">
        <f>70*J30</f>
        <v>1652</v>
      </c>
      <c r="AG30" s="19">
        <f>100*J30</f>
        <v>2360</v>
      </c>
      <c r="AH30" s="12">
        <f>(12*AE30)/L30</f>
        <v>0.15236455587238393</v>
      </c>
      <c r="AI30" s="12">
        <f>(12*AF30)/L30</f>
        <v>0.2133103782213375</v>
      </c>
      <c r="AJ30" s="15">
        <f>(12*AG30)/L30</f>
        <v>0.30472911174476786</v>
      </c>
      <c r="AK30" s="4">
        <v>0</v>
      </c>
      <c r="AL30" s="4" t="s">
        <v>301</v>
      </c>
    </row>
    <row r="31" spans="1:38" ht="15.75" thickBot="1" x14ac:dyDescent="0.3">
      <c r="A31" s="4" t="s">
        <v>77</v>
      </c>
      <c r="B31" s="4" t="s">
        <v>66</v>
      </c>
      <c r="C31" s="4" t="s">
        <v>67</v>
      </c>
      <c r="D31" s="4" t="s">
        <v>78</v>
      </c>
      <c r="E31" s="4">
        <v>86</v>
      </c>
      <c r="F31" s="4">
        <v>8046</v>
      </c>
      <c r="G31" s="4">
        <v>40.474691</v>
      </c>
      <c r="H31" s="4">
        <v>-3.6804679999999999</v>
      </c>
      <c r="I31" s="4">
        <v>86.58</v>
      </c>
      <c r="J31" s="4">
        <v>21.2</v>
      </c>
      <c r="K31" s="3">
        <f t="shared" si="0"/>
        <v>1835.4959999999999</v>
      </c>
      <c r="L31" s="14">
        <v>70736</v>
      </c>
      <c r="M31" s="16">
        <f t="shared" si="1"/>
        <v>1.0688540889883171</v>
      </c>
      <c r="N31" s="5">
        <v>28189</v>
      </c>
      <c r="O31" s="4">
        <v>6.7009999999999996</v>
      </c>
      <c r="P31" s="3">
        <v>3.3116021461951188</v>
      </c>
      <c r="Q31" s="19">
        <f>Coeficiente!$E$19*(Sheet1!M31-Coeficiente!$B$5)</f>
        <v>-8.7502817250369569E-2</v>
      </c>
      <c r="R31" s="19">
        <f>Coeficiente!$E$21*(Sheet1!O31-Coeficiente!$B$6)</f>
        <v>-1.2426445751948563</v>
      </c>
      <c r="S31" s="19">
        <f>Coeficiente!$E$20*(Sheet1!N31-Coeficiente!$B$7)</f>
        <v>1.1997583474258597</v>
      </c>
      <c r="T31" s="19">
        <f>Coeficiente!$E$22*(Sheet1!P31-Coeficiente!$B$8)</f>
        <v>-2.3614468606076133E-2</v>
      </c>
      <c r="U31" s="19">
        <f t="shared" si="2"/>
        <v>-0.15400351362544223</v>
      </c>
      <c r="V31" s="19">
        <f>Q31*I31</f>
        <v>-7.575993917536997</v>
      </c>
      <c r="W31" s="19">
        <f>R31*I31</f>
        <v>-107.58816732037066</v>
      </c>
      <c r="X31" s="19">
        <f>S31*I31</f>
        <v>103.87507772013093</v>
      </c>
      <c r="Y31" s="19">
        <f>T31*I31</f>
        <v>-2.0445406919140714</v>
      </c>
      <c r="Z31" s="19">
        <f t="shared" si="3"/>
        <v>-13.33362420969079</v>
      </c>
      <c r="AA31" s="12">
        <f>Q31/J31</f>
        <v>-4.1274913797344137E-3</v>
      </c>
      <c r="AB31" s="13">
        <f>R31/J31</f>
        <v>-5.8615310150700768E-2</v>
      </c>
      <c r="AC31" s="12">
        <f>S31/J31</f>
        <v>5.6592374878578294E-2</v>
      </c>
      <c r="AD31" s="12">
        <f>T31/J31</f>
        <v>-1.113890028588497E-3</v>
      </c>
      <c r="AE31" s="19">
        <f>50*J31</f>
        <v>1060</v>
      </c>
      <c r="AF31" s="19">
        <f>70*J31</f>
        <v>1484</v>
      </c>
      <c r="AG31" s="19">
        <f>100*J31</f>
        <v>2120</v>
      </c>
      <c r="AH31" s="12">
        <f>(12*AE31)/L31</f>
        <v>0.17982356932820628</v>
      </c>
      <c r="AI31" s="12">
        <f>(12*AF31)/L31</f>
        <v>0.25175299705948878</v>
      </c>
      <c r="AJ31" s="15">
        <f>(12*AG31)/L31</f>
        <v>0.35964713865641257</v>
      </c>
      <c r="AK31" s="4">
        <v>1</v>
      </c>
      <c r="AL31" s="4" t="s">
        <v>302</v>
      </c>
    </row>
    <row r="32" spans="1:38" ht="15.75" thickBot="1" x14ac:dyDescent="0.3">
      <c r="A32" s="4" t="s">
        <v>79</v>
      </c>
      <c r="B32" s="4" t="s">
        <v>80</v>
      </c>
      <c r="C32" s="4" t="s">
        <v>81</v>
      </c>
      <c r="D32" s="4" t="s">
        <v>82</v>
      </c>
      <c r="E32" s="4">
        <v>235</v>
      </c>
      <c r="F32" s="4">
        <v>14093</v>
      </c>
      <c r="G32" s="4">
        <v>40.45205</v>
      </c>
      <c r="H32" s="4">
        <v>-3.7073839999999998</v>
      </c>
      <c r="I32" s="4">
        <v>59.03</v>
      </c>
      <c r="J32" s="4">
        <v>23.3</v>
      </c>
      <c r="K32" s="3">
        <f t="shared" si="0"/>
        <v>1375.3990000000001</v>
      </c>
      <c r="L32" s="14">
        <v>41152</v>
      </c>
      <c r="M32" s="16">
        <f t="shared" si="1"/>
        <v>1.667494500816008</v>
      </c>
      <c r="N32" s="5">
        <v>16653</v>
      </c>
      <c r="O32" s="4">
        <v>3.91</v>
      </c>
      <c r="P32" s="3">
        <v>3.9274621781384629</v>
      </c>
      <c r="Q32" s="19">
        <f>Coeficiente!$E$19*(Sheet1!M32-Coeficiente!$B$5)</f>
        <v>-1.8975296110451151E-2</v>
      </c>
      <c r="R32" s="19">
        <f>Coeficiente!$E$21*(Sheet1!O32-Coeficiente!$B$6)</f>
        <v>0.96450146986728635</v>
      </c>
      <c r="S32" s="19">
        <f>Coeficiente!$E$20*(Sheet1!N32-Coeficiente!$B$7)</f>
        <v>-1.0450830173945529</v>
      </c>
      <c r="T32" s="19">
        <f>Coeficiente!$E$22*(Sheet1!P32-Coeficiente!$B$8)</f>
        <v>7.9868108842576405E-2</v>
      </c>
      <c r="U32" s="19">
        <f t="shared" si="2"/>
        <v>-1.9688734795141258E-2</v>
      </c>
      <c r="V32" s="19">
        <f>Q32*I32</f>
        <v>-1.1201117293999314</v>
      </c>
      <c r="W32" s="19">
        <f>R32*I32</f>
        <v>56.934521766265917</v>
      </c>
      <c r="X32" s="19">
        <f>S32*I32</f>
        <v>-61.691250516800459</v>
      </c>
      <c r="Y32" s="19">
        <f>T32*I32</f>
        <v>4.7146144649772852</v>
      </c>
      <c r="Z32" s="19">
        <f t="shared" si="3"/>
        <v>-1.162226014957187</v>
      </c>
      <c r="AA32" s="12">
        <f>Q32/J32</f>
        <v>-8.1439039100648718E-4</v>
      </c>
      <c r="AB32" s="13">
        <f>R32/J32</f>
        <v>4.1394912869840615E-2</v>
      </c>
      <c r="AC32" s="12">
        <f>S32/J32</f>
        <v>-4.4853348386032312E-2</v>
      </c>
      <c r="AD32" s="12">
        <f>T32/J32</f>
        <v>3.4278158301534935E-3</v>
      </c>
      <c r="AE32" s="19">
        <f>50*J32</f>
        <v>1165</v>
      </c>
      <c r="AF32" s="19">
        <f>70*J32</f>
        <v>1631</v>
      </c>
      <c r="AG32" s="19">
        <f>100*J32</f>
        <v>2330</v>
      </c>
      <c r="AH32" s="12">
        <f>(12*AE32)/L32</f>
        <v>0.3397161741835148</v>
      </c>
      <c r="AI32" s="12">
        <f>(12*AF32)/L32</f>
        <v>0.47560264385692069</v>
      </c>
      <c r="AJ32" s="15">
        <f>(12*AG32)/L32</f>
        <v>0.67943234836702959</v>
      </c>
      <c r="AK32" s="4">
        <v>0</v>
      </c>
      <c r="AL32" s="4" t="s">
        <v>301</v>
      </c>
    </row>
    <row r="33" spans="1:38" ht="15.75" thickBot="1" x14ac:dyDescent="0.3">
      <c r="A33" s="4" t="s">
        <v>83</v>
      </c>
      <c r="B33" s="4" t="s">
        <v>80</v>
      </c>
      <c r="C33" s="4" t="s">
        <v>81</v>
      </c>
      <c r="D33" s="4" t="s">
        <v>84</v>
      </c>
      <c r="E33" s="4">
        <v>470</v>
      </c>
      <c r="F33" s="4">
        <v>18417</v>
      </c>
      <c r="G33" s="4">
        <v>40.451968999999998</v>
      </c>
      <c r="H33" s="4">
        <v>-3.6969690000000002</v>
      </c>
      <c r="I33" s="4">
        <v>88.37</v>
      </c>
      <c r="J33" s="4">
        <v>23.7</v>
      </c>
      <c r="K33" s="3">
        <f t="shared" si="0"/>
        <v>2094.3690000000001</v>
      </c>
      <c r="L33" s="14">
        <v>56443</v>
      </c>
      <c r="M33" s="16">
        <f t="shared" si="1"/>
        <v>2.551990009230602</v>
      </c>
      <c r="N33" s="5">
        <v>24540</v>
      </c>
      <c r="O33" s="4">
        <v>3.927</v>
      </c>
      <c r="P33" s="3">
        <v>2.7527101424598439</v>
      </c>
      <c r="Q33" s="19">
        <f>Coeficiente!$E$19*(Sheet1!M33-Coeficiente!$B$5)</f>
        <v>8.2274608596099572E-2</v>
      </c>
      <c r="R33" s="19">
        <f>Coeficiente!$E$21*(Sheet1!O33-Coeficiente!$B$6)</f>
        <v>0.95105772828145463</v>
      </c>
      <c r="S33" s="19">
        <f>Coeficiente!$E$20*(Sheet1!N33-Coeficiente!$B$7)</f>
        <v>0.48968326592189942</v>
      </c>
      <c r="T33" s="19">
        <f>Coeficiente!$E$22*(Sheet1!P33-Coeficiente!$B$8)</f>
        <v>-0.11752474376952231</v>
      </c>
      <c r="U33" s="19">
        <f t="shared" si="2"/>
        <v>1.4054908590299313</v>
      </c>
      <c r="V33" s="19">
        <f>Q33*I33</f>
        <v>7.2706071616373196</v>
      </c>
      <c r="W33" s="19">
        <f>R33*I33</f>
        <v>84.044971448232147</v>
      </c>
      <c r="X33" s="19">
        <f>S33*I33</f>
        <v>43.273310209518257</v>
      </c>
      <c r="Y33" s="19">
        <f>T33*I33</f>
        <v>-10.385661606912686</v>
      </c>
      <c r="Z33" s="19">
        <f t="shared" si="3"/>
        <v>124.20322721247501</v>
      </c>
      <c r="AA33" s="12">
        <f>Q33/J33</f>
        <v>3.4715024724092649E-3</v>
      </c>
      <c r="AB33" s="13">
        <f>R33/J33</f>
        <v>4.0129018070947452E-2</v>
      </c>
      <c r="AC33" s="12">
        <f>S33/J33</f>
        <v>2.0661741178139216E-2</v>
      </c>
      <c r="AD33" s="12">
        <f>T33/J33</f>
        <v>-4.9588499480811106E-3</v>
      </c>
      <c r="AE33" s="19">
        <f>50*J33</f>
        <v>1185</v>
      </c>
      <c r="AF33" s="19">
        <f>70*J33</f>
        <v>1659</v>
      </c>
      <c r="AG33" s="19">
        <f>100*J33</f>
        <v>2370</v>
      </c>
      <c r="AH33" s="12">
        <f>(12*AE33)/L33</f>
        <v>0.25193558102864838</v>
      </c>
      <c r="AI33" s="12">
        <f>(12*AF33)/L33</f>
        <v>0.35270981344010771</v>
      </c>
      <c r="AJ33" s="15">
        <f>(12*AG33)/L33</f>
        <v>0.50387116205729676</v>
      </c>
      <c r="AK33" s="4">
        <v>0</v>
      </c>
      <c r="AL33" s="4" t="s">
        <v>301</v>
      </c>
    </row>
    <row r="34" spans="1:38" ht="15.75" thickBot="1" x14ac:dyDescent="0.3">
      <c r="A34" s="4" t="s">
        <v>85</v>
      </c>
      <c r="B34" s="4" t="s">
        <v>80</v>
      </c>
      <c r="C34" s="4" t="s">
        <v>81</v>
      </c>
      <c r="D34" s="4" t="s">
        <v>86</v>
      </c>
      <c r="E34" s="4">
        <v>287</v>
      </c>
      <c r="F34" s="4">
        <v>11912</v>
      </c>
      <c r="G34" s="4">
        <v>40.460979999999999</v>
      </c>
      <c r="H34" s="4">
        <v>-3.6940499999999998</v>
      </c>
      <c r="I34" s="4">
        <v>85.85</v>
      </c>
      <c r="J34" s="4">
        <v>23.3</v>
      </c>
      <c r="K34" s="3">
        <f t="shared" si="0"/>
        <v>2000.3049999999998</v>
      </c>
      <c r="L34" s="14">
        <v>58273</v>
      </c>
      <c r="M34" s="16">
        <f t="shared" si="1"/>
        <v>2.4093351242444596</v>
      </c>
      <c r="N34" s="5">
        <v>26447</v>
      </c>
      <c r="O34" s="4">
        <v>4.9530000000000003</v>
      </c>
      <c r="P34" s="3">
        <v>3.2802562999091469</v>
      </c>
      <c r="Q34" s="19">
        <f>Coeficiente!$E$19*(Sheet1!M34-Coeficiente!$B$5)</f>
        <v>6.5944629106819266E-2</v>
      </c>
      <c r="R34" s="19">
        <f>Coeficiente!$E$21*(Sheet1!O34-Coeficiente!$B$6)</f>
        <v>0.13968838316007906</v>
      </c>
      <c r="S34" s="19">
        <f>Coeficiente!$E$20*(Sheet1!N34-Coeficiente!$B$7)</f>
        <v>0.8607748472943445</v>
      </c>
      <c r="T34" s="19">
        <f>Coeficiente!$E$22*(Sheet1!P34-Coeficiente!$B$8)</f>
        <v>-2.8881491627112277E-2</v>
      </c>
      <c r="U34" s="19">
        <f t="shared" si="2"/>
        <v>1.0375263679341307</v>
      </c>
      <c r="V34" s="19">
        <f>Q34*I34</f>
        <v>5.6613464088204335</v>
      </c>
      <c r="W34" s="19">
        <f>R34*I34</f>
        <v>11.992247694292786</v>
      </c>
      <c r="X34" s="19">
        <f>S34*I34</f>
        <v>73.897520640219469</v>
      </c>
      <c r="Y34" s="19">
        <f>T34*I34</f>
        <v>-2.4794760561875888</v>
      </c>
      <c r="Z34" s="19">
        <f t="shared" si="3"/>
        <v>89.071638687145096</v>
      </c>
      <c r="AA34" s="12">
        <f>Q34/J34</f>
        <v>2.8302415925673505E-3</v>
      </c>
      <c r="AB34" s="13">
        <f>R34/J34</f>
        <v>5.9952095776857964E-3</v>
      </c>
      <c r="AC34" s="12">
        <f>S34/J34</f>
        <v>3.6943126493319503E-2</v>
      </c>
      <c r="AD34" s="12">
        <f>T34/J34</f>
        <v>-1.2395489968717716E-3</v>
      </c>
      <c r="AE34" s="19">
        <f>50*J34</f>
        <v>1165</v>
      </c>
      <c r="AF34" s="19">
        <f>70*J34</f>
        <v>1631</v>
      </c>
      <c r="AG34" s="19">
        <f>100*J34</f>
        <v>2330</v>
      </c>
      <c r="AH34" s="12">
        <f>(12*AE34)/L34</f>
        <v>0.23990527345425841</v>
      </c>
      <c r="AI34" s="12">
        <f>(12*AF34)/L34</f>
        <v>0.33586738283596179</v>
      </c>
      <c r="AJ34" s="15">
        <f>(12*AG34)/L34</f>
        <v>0.47981054690851682</v>
      </c>
      <c r="AK34" s="4">
        <v>0</v>
      </c>
      <c r="AL34" s="4" t="s">
        <v>301</v>
      </c>
    </row>
    <row r="35" spans="1:38" ht="15.75" thickBot="1" x14ac:dyDescent="0.3">
      <c r="A35" s="4" t="s">
        <v>87</v>
      </c>
      <c r="B35" s="4" t="s">
        <v>80</v>
      </c>
      <c r="C35" s="4" t="s">
        <v>81</v>
      </c>
      <c r="D35" s="4" t="s">
        <v>88</v>
      </c>
      <c r="E35" s="4">
        <v>185</v>
      </c>
      <c r="F35" s="4">
        <v>10791</v>
      </c>
      <c r="G35" s="4">
        <v>40.469814</v>
      </c>
      <c r="H35" s="4">
        <v>-3.6940019999999998</v>
      </c>
      <c r="I35" s="4">
        <v>83.16</v>
      </c>
      <c r="J35" s="4">
        <v>23.4</v>
      </c>
      <c r="K35" s="3">
        <f t="shared" si="0"/>
        <v>1945.9439999999997</v>
      </c>
      <c r="L35" s="14">
        <v>39983</v>
      </c>
      <c r="M35" s="16">
        <f t="shared" si="1"/>
        <v>1.7143916226485034</v>
      </c>
      <c r="N35" s="5">
        <v>16415</v>
      </c>
      <c r="O35" s="4">
        <v>5.9240000000000004</v>
      </c>
      <c r="P35" s="3">
        <v>4.3820391541349393</v>
      </c>
      <c r="Q35" s="19">
        <f>Coeficiente!$E$19*(Sheet1!M35-Coeficiente!$B$5)</f>
        <v>-1.3606892233462835E-2</v>
      </c>
      <c r="R35" s="19">
        <f>Coeficiente!$E$21*(Sheet1!O35-Coeficiente!$B$6)</f>
        <v>-0.62818650388948782</v>
      </c>
      <c r="S35" s="19">
        <f>Coeficiente!$E$20*(Sheet1!N35-Coeficiente!$B$7)</f>
        <v>-1.0913964921541974</v>
      </c>
      <c r="T35" s="19">
        <f>Coeficiente!$E$22*(Sheet1!P35-Coeficiente!$B$8)</f>
        <v>0.15625039488976894</v>
      </c>
      <c r="U35" s="19">
        <f t="shared" si="2"/>
        <v>-1.5769394933873793</v>
      </c>
      <c r="V35" s="19">
        <f>Q35*I35</f>
        <v>-1.1315491581347692</v>
      </c>
      <c r="W35" s="19">
        <f>R35*I35</f>
        <v>-52.239989663449805</v>
      </c>
      <c r="X35" s="19">
        <f>S35*I35</f>
        <v>-90.760532287543057</v>
      </c>
      <c r="Y35" s="19">
        <f>T35*I35</f>
        <v>12.993782839033184</v>
      </c>
      <c r="Z35" s="19">
        <f t="shared" si="3"/>
        <v>-131.13828827009445</v>
      </c>
      <c r="AA35" s="12">
        <f>Q35/J35</f>
        <v>-5.8149112108815541E-4</v>
      </c>
      <c r="AB35" s="13">
        <f>R35/J35</f>
        <v>-2.6845577089294352E-2</v>
      </c>
      <c r="AC35" s="12">
        <f>S35/J35</f>
        <v>-4.6640875733085362E-2</v>
      </c>
      <c r="AD35" s="12">
        <f>T35/J35</f>
        <v>6.6773673029815791E-3</v>
      </c>
      <c r="AE35" s="19">
        <f>50*J35</f>
        <v>1170</v>
      </c>
      <c r="AF35" s="19">
        <f>70*J35</f>
        <v>1638</v>
      </c>
      <c r="AG35" s="19">
        <f>100*J35</f>
        <v>2340</v>
      </c>
      <c r="AH35" s="12">
        <f>(12*AE35)/L35</f>
        <v>0.35114923842633117</v>
      </c>
      <c r="AI35" s="12">
        <f>(12*AF35)/L35</f>
        <v>0.49160893379686366</v>
      </c>
      <c r="AJ35" s="15">
        <f>(12*AG35)/L35</f>
        <v>0.70229847685266233</v>
      </c>
      <c r="AK35" s="4">
        <v>0</v>
      </c>
      <c r="AL35" s="4" t="s">
        <v>301</v>
      </c>
    </row>
    <row r="36" spans="1:38" ht="15.75" thickBot="1" x14ac:dyDescent="0.3">
      <c r="A36" s="4" t="s">
        <v>89</v>
      </c>
      <c r="B36" s="4" t="s">
        <v>80</v>
      </c>
      <c r="C36" s="4" t="s">
        <v>81</v>
      </c>
      <c r="D36" s="4" t="s">
        <v>90</v>
      </c>
      <c r="E36" s="4">
        <v>224</v>
      </c>
      <c r="F36" s="4">
        <v>13186</v>
      </c>
      <c r="G36" s="4">
        <v>40.466858999999999</v>
      </c>
      <c r="H36" s="4">
        <v>-3.7043409999999999</v>
      </c>
      <c r="I36" s="4">
        <v>69.64</v>
      </c>
      <c r="J36" s="4">
        <v>21.9</v>
      </c>
      <c r="K36" s="3">
        <f t="shared" si="0"/>
        <v>1525.116</v>
      </c>
      <c r="L36" s="14">
        <v>37436</v>
      </c>
      <c r="M36" s="16">
        <f t="shared" si="1"/>
        <v>1.6987714242378282</v>
      </c>
      <c r="N36" s="5">
        <v>15348</v>
      </c>
      <c r="O36" s="4">
        <v>5.5410000000000004</v>
      </c>
      <c r="P36" s="3">
        <v>4.5060786080815136</v>
      </c>
      <c r="Q36" s="19">
        <f>Coeficiente!$E$19*(Sheet1!M36-Coeficiente!$B$5)</f>
        <v>-1.5394966435685864E-2</v>
      </c>
      <c r="R36" s="19">
        <f>Coeficiente!$E$21*(Sheet1!O36-Coeficiente!$B$6)</f>
        <v>-0.3253069140439841</v>
      </c>
      <c r="S36" s="19">
        <f>Coeficiente!$E$20*(Sheet1!N36-Coeficiente!$B$7)</f>
        <v>-1.2990287508455445</v>
      </c>
      <c r="T36" s="19">
        <f>Coeficiente!$E$22*(Sheet1!P36-Coeficiente!$B$8)</f>
        <v>0.17709266705218099</v>
      </c>
      <c r="U36" s="19">
        <f t="shared" si="2"/>
        <v>-1.4626379642730334</v>
      </c>
      <c r="V36" s="19">
        <f>Q36*I36</f>
        <v>-1.0721054625811635</v>
      </c>
      <c r="W36" s="19">
        <f>R36*I36</f>
        <v>-22.654373494023051</v>
      </c>
      <c r="X36" s="19">
        <f>S36*I36</f>
        <v>-90.464362208883713</v>
      </c>
      <c r="Y36" s="19">
        <f>T36*I36</f>
        <v>12.332733333513884</v>
      </c>
      <c r="Z36" s="19">
        <f t="shared" si="3"/>
        <v>-101.85810783197404</v>
      </c>
      <c r="AA36" s="12">
        <f>Q36/J36</f>
        <v>-7.0296650391259651E-4</v>
      </c>
      <c r="AB36" s="13">
        <f>R36/J36</f>
        <v>-1.4854196988309778E-2</v>
      </c>
      <c r="AC36" s="12">
        <f>S36/J36</f>
        <v>-5.9316381317148156E-2</v>
      </c>
      <c r="AD36" s="12">
        <f>T36/J36</f>
        <v>8.0864231530676251E-3</v>
      </c>
      <c r="AE36" s="19">
        <f>50*J36</f>
        <v>1095</v>
      </c>
      <c r="AF36" s="19">
        <f>70*J36</f>
        <v>1533</v>
      </c>
      <c r="AG36" s="19">
        <f>100*J36</f>
        <v>2190</v>
      </c>
      <c r="AH36" s="12">
        <f>(12*AE36)/L36</f>
        <v>0.35099903835879903</v>
      </c>
      <c r="AI36" s="12">
        <f>(12*AF36)/L36</f>
        <v>0.49139865370231861</v>
      </c>
      <c r="AJ36" s="15">
        <f>(12*AG36)/L36</f>
        <v>0.70199807671759806</v>
      </c>
      <c r="AK36" s="4">
        <v>1</v>
      </c>
      <c r="AL36" s="4" t="s">
        <v>302</v>
      </c>
    </row>
    <row r="37" spans="1:38" ht="15.75" thickBot="1" x14ac:dyDescent="0.3">
      <c r="A37" s="4" t="s">
        <v>91</v>
      </c>
      <c r="B37" s="4" t="s">
        <v>80</v>
      </c>
      <c r="C37" s="4" t="s">
        <v>81</v>
      </c>
      <c r="D37" s="4" t="s">
        <v>92</v>
      </c>
      <c r="E37" s="4">
        <v>222</v>
      </c>
      <c r="F37" s="4">
        <v>12334</v>
      </c>
      <c r="G37" s="4">
        <v>40.458924000000003</v>
      </c>
      <c r="H37" s="4">
        <v>-3.705352</v>
      </c>
      <c r="I37" s="4">
        <v>60.18</v>
      </c>
      <c r="J37" s="4">
        <v>21.4</v>
      </c>
      <c r="K37" s="3">
        <f t="shared" si="0"/>
        <v>1287.8519999999999</v>
      </c>
      <c r="L37" s="14">
        <v>38427</v>
      </c>
      <c r="M37" s="16">
        <f t="shared" si="1"/>
        <v>1.7999027079617318</v>
      </c>
      <c r="N37" s="5">
        <v>15679</v>
      </c>
      <c r="O37" s="4">
        <v>4.6619999999999999</v>
      </c>
      <c r="P37" s="3">
        <v>4.2622888376787857</v>
      </c>
      <c r="Q37" s="19">
        <f>Coeficiente!$E$19*(Sheet1!M37-Coeficiente!$B$5)</f>
        <v>-3.8182735723720205E-3</v>
      </c>
      <c r="R37" s="19">
        <f>Coeficiente!$E$21*(Sheet1!O37-Coeficiente!$B$6)</f>
        <v>0.36981360677637587</v>
      </c>
      <c r="S37" s="19">
        <f>Coeficiente!$E$20*(Sheet1!N37-Coeficiente!$B$7)</f>
        <v>-1.2346179939319213</v>
      </c>
      <c r="T37" s="19">
        <f>Coeficiente!$E$22*(Sheet1!P37-Coeficiente!$B$8)</f>
        <v>0.1361288238274751</v>
      </c>
      <c r="U37" s="19">
        <f t="shared" si="2"/>
        <v>-0.73249383690044234</v>
      </c>
      <c r="V37" s="19">
        <f>Q37*I37</f>
        <v>-0.22978370358534819</v>
      </c>
      <c r="W37" s="19">
        <f>R37*I37</f>
        <v>22.255382855802299</v>
      </c>
      <c r="X37" s="19">
        <f>S37*I37</f>
        <v>-74.299310874823021</v>
      </c>
      <c r="Y37" s="19">
        <f>T37*I37</f>
        <v>8.1922326179374512</v>
      </c>
      <c r="Z37" s="19">
        <f t="shared" si="3"/>
        <v>-44.081479104668617</v>
      </c>
      <c r="AA37" s="12">
        <f>Q37/J37</f>
        <v>-1.7842399870897293E-4</v>
      </c>
      <c r="AB37" s="13">
        <f>R37/J37</f>
        <v>1.7281009662447472E-2</v>
      </c>
      <c r="AC37" s="12">
        <f>S37/J37</f>
        <v>-5.7692429622986978E-2</v>
      </c>
      <c r="AD37" s="12">
        <f>T37/J37</f>
        <v>6.3611599919380889E-3</v>
      </c>
      <c r="AE37" s="19">
        <f>50*J37</f>
        <v>1070</v>
      </c>
      <c r="AF37" s="19">
        <f>70*J37</f>
        <v>1498</v>
      </c>
      <c r="AG37" s="19">
        <f>100*J37</f>
        <v>2140</v>
      </c>
      <c r="AH37" s="12">
        <f>(12*AE37)/L37</f>
        <v>0.33414005777187916</v>
      </c>
      <c r="AI37" s="12">
        <f>(12*AF37)/L37</f>
        <v>0.46779608088063079</v>
      </c>
      <c r="AJ37" s="15">
        <f>(12*AG37)/L37</f>
        <v>0.66828011554375832</v>
      </c>
      <c r="AK37" s="4">
        <v>1</v>
      </c>
      <c r="AL37" s="4" t="s">
        <v>302</v>
      </c>
    </row>
    <row r="38" spans="1:38" ht="15.75" thickBot="1" x14ac:dyDescent="0.3">
      <c r="A38" s="4" t="s">
        <v>93</v>
      </c>
      <c r="B38" s="4" t="s">
        <v>94</v>
      </c>
      <c r="C38" s="4" t="s">
        <v>95</v>
      </c>
      <c r="D38" s="4" t="s">
        <v>96</v>
      </c>
      <c r="E38" s="4">
        <v>237</v>
      </c>
      <c r="F38" s="4">
        <v>13460</v>
      </c>
      <c r="G38" s="4">
        <v>40.434463999999998</v>
      </c>
      <c r="H38" s="4">
        <v>-3.7148249999999998</v>
      </c>
      <c r="I38" s="4">
        <v>94.21</v>
      </c>
      <c r="J38" s="4">
        <v>25</v>
      </c>
      <c r="K38" s="3">
        <f t="shared" si="0"/>
        <v>2355.25</v>
      </c>
      <c r="L38" s="14">
        <v>57141</v>
      </c>
      <c r="M38" s="16">
        <f t="shared" si="1"/>
        <v>1.7607726597325408</v>
      </c>
      <c r="N38" s="5">
        <v>26058</v>
      </c>
      <c r="O38" s="4">
        <v>2.1680000000000001</v>
      </c>
      <c r="P38" s="3">
        <v>2.4692420201324961</v>
      </c>
      <c r="Q38" s="19">
        <f>Coeficiente!$E$19*(Sheet1!M38-Coeficiente!$B$5)</f>
        <v>-8.2975655717964329E-3</v>
      </c>
      <c r="R38" s="19">
        <f>Coeficiente!$E$21*(Sheet1!O38-Coeficiente!$B$6)</f>
        <v>2.3420895782507523</v>
      </c>
      <c r="S38" s="19">
        <f>Coeficiente!$E$20*(Sheet1!N38-Coeficiente!$B$7)</f>
        <v>0.78507761333845505</v>
      </c>
      <c r="T38" s="19">
        <f>Coeficiente!$E$22*(Sheet1!P38-Coeficiente!$B$8)</f>
        <v>-0.16515571574606142</v>
      </c>
      <c r="U38" s="19">
        <f t="shared" si="2"/>
        <v>2.9537139102713494</v>
      </c>
      <c r="V38" s="19">
        <f>Q38*I38</f>
        <v>-0.78171365251894187</v>
      </c>
      <c r="W38" s="19">
        <f>R38*I38</f>
        <v>220.64825916700335</v>
      </c>
      <c r="X38" s="19">
        <f>S38*I38</f>
        <v>73.962161952615844</v>
      </c>
      <c r="Y38" s="19">
        <f>T38*I38</f>
        <v>-15.559319980436445</v>
      </c>
      <c r="Z38" s="19">
        <f t="shared" si="3"/>
        <v>278.26938748666379</v>
      </c>
      <c r="AA38" s="12">
        <f>Q38/J38</f>
        <v>-3.319026228718573E-4</v>
      </c>
      <c r="AB38" s="13">
        <f>R38/J38</f>
        <v>9.3683583130030085E-2</v>
      </c>
      <c r="AC38" s="12">
        <f>S38/J38</f>
        <v>3.1403104533538201E-2</v>
      </c>
      <c r="AD38" s="12">
        <f>T38/J38</f>
        <v>-6.6062286298424564E-3</v>
      </c>
      <c r="AE38" s="19">
        <f>50*J38</f>
        <v>1250</v>
      </c>
      <c r="AF38" s="19">
        <f>70*J38</f>
        <v>1750</v>
      </c>
      <c r="AG38" s="19">
        <f>100*J38</f>
        <v>2500</v>
      </c>
      <c r="AH38" s="12">
        <f>(12*AE38)/L38</f>
        <v>0.26250853152727466</v>
      </c>
      <c r="AI38" s="12">
        <f>(12*AF38)/L38</f>
        <v>0.3675119441381845</v>
      </c>
      <c r="AJ38" s="15">
        <f>(12*AG38)/L38</f>
        <v>0.52501706305454932</v>
      </c>
      <c r="AK38" s="4">
        <v>0</v>
      </c>
      <c r="AL38" s="4" t="s">
        <v>301</v>
      </c>
    </row>
    <row r="39" spans="1:38" ht="15.75" thickBot="1" x14ac:dyDescent="0.3">
      <c r="A39" s="4" t="s">
        <v>97</v>
      </c>
      <c r="B39" s="4" t="s">
        <v>94</v>
      </c>
      <c r="C39" s="4" t="s">
        <v>95</v>
      </c>
      <c r="D39" s="4" t="s">
        <v>98</v>
      </c>
      <c r="E39" s="4">
        <v>233</v>
      </c>
      <c r="F39" s="4">
        <v>13658</v>
      </c>
      <c r="G39" s="4">
        <v>40.434524000000003</v>
      </c>
      <c r="H39" s="4">
        <v>-3.7079089999999999</v>
      </c>
      <c r="I39" s="4">
        <v>80.89</v>
      </c>
      <c r="J39" s="4">
        <v>25</v>
      </c>
      <c r="K39" s="3">
        <f t="shared" si="0"/>
        <v>2022.25</v>
      </c>
      <c r="L39" s="14">
        <v>56121</v>
      </c>
      <c r="M39" s="16">
        <f t="shared" si="1"/>
        <v>1.7059598769951678</v>
      </c>
      <c r="N39" s="5">
        <v>25893</v>
      </c>
      <c r="O39" s="4">
        <v>1.986</v>
      </c>
      <c r="P39" s="3">
        <v>3.017039555383644</v>
      </c>
      <c r="Q39" s="19">
        <f>Coeficiente!$E$19*(Sheet1!M39-Coeficiente!$B$5)</f>
        <v>-1.4572090400992631E-2</v>
      </c>
      <c r="R39" s="19">
        <f>Coeficiente!$E$21*(Sheet1!O39-Coeficiente!$B$6)</f>
        <v>2.4860166940520103</v>
      </c>
      <c r="S39" s="19">
        <f>Coeficiente!$E$20*(Sheet1!N39-Coeficiente!$B$7)</f>
        <v>0.75296953209752515</v>
      </c>
      <c r="T39" s="19">
        <f>Coeficiente!$E$22*(Sheet1!P39-Coeficiente!$B$8)</f>
        <v>-7.3109637209464881E-2</v>
      </c>
      <c r="U39" s="19">
        <f t="shared" si="2"/>
        <v>3.1513044985390777</v>
      </c>
      <c r="V39" s="19">
        <f>Q39*I39</f>
        <v>-1.1787363925362939</v>
      </c>
      <c r="W39" s="19">
        <f>R39*I39</f>
        <v>201.09389038186711</v>
      </c>
      <c r="X39" s="19">
        <f>S39*I39</f>
        <v>60.907705451368813</v>
      </c>
      <c r="Y39" s="19">
        <f>T39*I39</f>
        <v>-5.9138385538736147</v>
      </c>
      <c r="Z39" s="19">
        <f t="shared" si="3"/>
        <v>254.90902088682603</v>
      </c>
      <c r="AA39" s="12">
        <f>Q39/J39</f>
        <v>-5.8288361603970522E-4</v>
      </c>
      <c r="AB39" s="13">
        <f>R39/J39</f>
        <v>9.9440667762080409E-2</v>
      </c>
      <c r="AC39" s="12">
        <f>S39/J39</f>
        <v>3.0118781283901008E-2</v>
      </c>
      <c r="AD39" s="12">
        <f>T39/J39</f>
        <v>-2.9243854883785952E-3</v>
      </c>
      <c r="AE39" s="19">
        <f>50*J39</f>
        <v>1250</v>
      </c>
      <c r="AF39" s="19">
        <f>70*J39</f>
        <v>1750</v>
      </c>
      <c r="AG39" s="19">
        <f>100*J39</f>
        <v>2500</v>
      </c>
      <c r="AH39" s="12">
        <f>(12*AE39)/L39</f>
        <v>0.26727962794675791</v>
      </c>
      <c r="AI39" s="12">
        <f>(12*AF39)/L39</f>
        <v>0.37419147912546108</v>
      </c>
      <c r="AJ39" s="15">
        <f>(12*AG39)/L39</f>
        <v>0.53455925589351583</v>
      </c>
      <c r="AK39" s="4">
        <v>0</v>
      </c>
      <c r="AL39" s="4" t="s">
        <v>301</v>
      </c>
    </row>
    <row r="40" spans="1:38" ht="15.75" thickBot="1" x14ac:dyDescent="0.3">
      <c r="A40" s="4" t="s">
        <v>99</v>
      </c>
      <c r="B40" s="4" t="s">
        <v>94</v>
      </c>
      <c r="C40" s="4" t="s">
        <v>95</v>
      </c>
      <c r="D40" s="4" t="s">
        <v>100</v>
      </c>
      <c r="E40" s="4">
        <v>465</v>
      </c>
      <c r="F40" s="4">
        <v>14144</v>
      </c>
      <c r="G40" s="4">
        <v>40.433304</v>
      </c>
      <c r="H40" s="4">
        <v>-3.701279</v>
      </c>
      <c r="I40" s="4">
        <v>83.46</v>
      </c>
      <c r="J40" s="4">
        <v>27.1</v>
      </c>
      <c r="K40" s="3">
        <f t="shared" si="0"/>
        <v>2261.7660000000001</v>
      </c>
      <c r="L40" s="14">
        <v>56014</v>
      </c>
      <c r="M40" s="16">
        <f t="shared" si="1"/>
        <v>3.2876131221719458</v>
      </c>
      <c r="N40" s="5">
        <v>26431</v>
      </c>
      <c r="O40" s="4">
        <v>1.8260000000000001</v>
      </c>
      <c r="P40" s="3">
        <v>2.8308875052553599</v>
      </c>
      <c r="Q40" s="19">
        <f>Coeficiente!$E$19*(Sheet1!M40-Coeficiente!$B$5)</f>
        <v>0.16648280341073626</v>
      </c>
      <c r="R40" s="19">
        <f>Coeficiente!$E$21*(Sheet1!O40-Coeficiente!$B$6)</f>
        <v>2.6125460266245439</v>
      </c>
      <c r="S40" s="19">
        <f>Coeficiente!$E$20*(Sheet1!N40-Coeficiente!$B$7)</f>
        <v>0.85766133638613307</v>
      </c>
      <c r="T40" s="19">
        <f>Coeficiente!$E$22*(Sheet1!P40-Coeficiente!$B$8)</f>
        <v>-0.10438865020831094</v>
      </c>
      <c r="U40" s="19">
        <f t="shared" si="2"/>
        <v>3.5323015162131024</v>
      </c>
      <c r="V40" s="19">
        <f>Q40*I40</f>
        <v>13.894654772660047</v>
      </c>
      <c r="W40" s="19">
        <f>R40*I40</f>
        <v>218.04309138208441</v>
      </c>
      <c r="X40" s="19">
        <f>S40*I40</f>
        <v>71.580415134786662</v>
      </c>
      <c r="Y40" s="19">
        <f>T40*I40</f>
        <v>-8.7122767463856299</v>
      </c>
      <c r="Z40" s="19">
        <f t="shared" si="3"/>
        <v>294.80588454314551</v>
      </c>
      <c r="AA40" s="12">
        <f>Q40/J40</f>
        <v>6.1432768786249536E-3</v>
      </c>
      <c r="AB40" s="13">
        <f>R40/J40</f>
        <v>9.6403912421569884E-2</v>
      </c>
      <c r="AC40" s="12">
        <f>S40/J40</f>
        <v>3.164801979284624E-2</v>
      </c>
      <c r="AD40" s="12">
        <f>T40/J40</f>
        <v>-3.8519797124837983E-3</v>
      </c>
      <c r="AE40" s="19">
        <f>50*J40</f>
        <v>1355</v>
      </c>
      <c r="AF40" s="19">
        <f>70*J40</f>
        <v>1897</v>
      </c>
      <c r="AG40" s="19">
        <f>100*J40</f>
        <v>2710</v>
      </c>
      <c r="AH40" s="12">
        <f>(12*AE40)/L40</f>
        <v>0.29028457171421429</v>
      </c>
      <c r="AI40" s="12">
        <f>(12*AF40)/L40</f>
        <v>0.40639840039990005</v>
      </c>
      <c r="AJ40" s="15">
        <f>(12*AG40)/L40</f>
        <v>0.58056914342842858</v>
      </c>
      <c r="AK40" s="4">
        <v>0</v>
      </c>
      <c r="AL40" s="4" t="s">
        <v>301</v>
      </c>
    </row>
    <row r="41" spans="1:38" ht="15.75" thickBot="1" x14ac:dyDescent="0.3">
      <c r="A41" s="4" t="s">
        <v>101</v>
      </c>
      <c r="B41" s="4" t="s">
        <v>94</v>
      </c>
      <c r="C41" s="4" t="s">
        <v>95</v>
      </c>
      <c r="D41" s="4" t="s">
        <v>102</v>
      </c>
      <c r="E41" s="4">
        <v>227</v>
      </c>
      <c r="F41" s="4">
        <v>9358</v>
      </c>
      <c r="G41" s="4">
        <v>40.432029999999997</v>
      </c>
      <c r="H41" s="4">
        <v>-3.6930879999999999</v>
      </c>
      <c r="I41" s="4">
        <v>129.06</v>
      </c>
      <c r="J41" s="4">
        <v>27.7</v>
      </c>
      <c r="K41" s="3">
        <f t="shared" si="0"/>
        <v>3574.962</v>
      </c>
      <c r="L41" s="14">
        <v>86678</v>
      </c>
      <c r="M41" s="16">
        <f t="shared" si="1"/>
        <v>2.4257319940158153</v>
      </c>
      <c r="N41" s="5">
        <v>33425</v>
      </c>
      <c r="O41" s="4">
        <v>1.8939999999999999</v>
      </c>
      <c r="P41" s="3">
        <v>2.9129662522202491</v>
      </c>
      <c r="Q41" s="19">
        <f>Coeficiente!$E$19*(Sheet1!M41-Coeficiente!$B$5)</f>
        <v>6.7821610375849412E-2</v>
      </c>
      <c r="R41" s="19">
        <f>Coeficiente!$E$21*(Sheet1!O41-Coeficiente!$B$6)</f>
        <v>2.558771060281217</v>
      </c>
      <c r="S41" s="19">
        <f>Coeficiente!$E$20*(Sheet1!N41-Coeficiente!$B$7)</f>
        <v>2.2186547921380373</v>
      </c>
      <c r="T41" s="19">
        <f>Coeficiente!$E$22*(Sheet1!P41-Coeficiente!$B$8)</f>
        <v>-9.0597009495922781E-2</v>
      </c>
      <c r="U41" s="19">
        <f t="shared" si="2"/>
        <v>4.7546504532991811</v>
      </c>
      <c r="V41" s="19">
        <f>Q41*I41</f>
        <v>8.7530570351071244</v>
      </c>
      <c r="W41" s="19">
        <f>R41*I41</f>
        <v>330.23499303989388</v>
      </c>
      <c r="X41" s="19">
        <f>S41*I41</f>
        <v>286.33958747333509</v>
      </c>
      <c r="Y41" s="19">
        <f>T41*I41</f>
        <v>-11.692450045543794</v>
      </c>
      <c r="Z41" s="19">
        <f t="shared" si="3"/>
        <v>613.63518750279229</v>
      </c>
      <c r="AA41" s="12">
        <f>Q41/J41</f>
        <v>2.4484335875757913E-3</v>
      </c>
      <c r="AB41" s="13">
        <f>R41/J41</f>
        <v>9.237440650834719E-2</v>
      </c>
      <c r="AC41" s="12">
        <f>S41/J41</f>
        <v>8.0095840871409293E-2</v>
      </c>
      <c r="AD41" s="12">
        <f>T41/J41</f>
        <v>-3.2706501623076816E-3</v>
      </c>
      <c r="AE41" s="19">
        <f>50*J41</f>
        <v>1385</v>
      </c>
      <c r="AF41" s="19">
        <f>70*J41</f>
        <v>1939</v>
      </c>
      <c r="AG41" s="19">
        <f>100*J41</f>
        <v>2770</v>
      </c>
      <c r="AH41" s="12">
        <f>(12*AE41)/L41</f>
        <v>0.1917441565333764</v>
      </c>
      <c r="AI41" s="12">
        <f>(12*AF41)/L41</f>
        <v>0.26844181914672699</v>
      </c>
      <c r="AJ41" s="15">
        <f>(12*AG41)/L41</f>
        <v>0.3834883130667528</v>
      </c>
      <c r="AK41" s="4">
        <v>0</v>
      </c>
      <c r="AL41" s="4" t="s">
        <v>301</v>
      </c>
    </row>
    <row r="42" spans="1:38" ht="15.75" thickBot="1" x14ac:dyDescent="0.3">
      <c r="A42" s="4" t="s">
        <v>103</v>
      </c>
      <c r="B42" s="4" t="s">
        <v>94</v>
      </c>
      <c r="C42" s="4" t="s">
        <v>95</v>
      </c>
      <c r="D42" s="4" t="s">
        <v>104</v>
      </c>
      <c r="E42" s="4">
        <v>254</v>
      </c>
      <c r="F42" s="4">
        <v>15102</v>
      </c>
      <c r="G42" s="4">
        <v>40.442731000000002</v>
      </c>
      <c r="H42" s="4">
        <v>-3.6978529999999998</v>
      </c>
      <c r="I42" s="4">
        <v>94.25</v>
      </c>
      <c r="J42" s="4">
        <v>25.3</v>
      </c>
      <c r="K42" s="3">
        <f t="shared" si="0"/>
        <v>2384.5250000000001</v>
      </c>
      <c r="L42" s="14">
        <v>66143</v>
      </c>
      <c r="M42" s="16">
        <f t="shared" si="1"/>
        <v>1.6818964375579393</v>
      </c>
      <c r="N42" s="5">
        <v>29358</v>
      </c>
      <c r="O42" s="4">
        <v>2.9020000000000001</v>
      </c>
      <c r="P42" s="3">
        <v>2.8988662131519281</v>
      </c>
      <c r="Q42" s="19">
        <f>Coeficiente!$E$19*(Sheet1!M42-Coeficiente!$B$5)</f>
        <v>-1.7326678668261944E-2</v>
      </c>
      <c r="R42" s="19">
        <f>Coeficiente!$E$21*(Sheet1!O42-Coeficiente!$B$6)</f>
        <v>1.7616362650742516</v>
      </c>
      <c r="S42" s="19">
        <f>Coeficiente!$E$20*(Sheet1!N42-Coeficiente!$B$7)</f>
        <v>1.4272392381570544</v>
      </c>
      <c r="T42" s="19">
        <f>Coeficiente!$E$22*(Sheet1!P42-Coeficiente!$B$8)</f>
        <v>-9.2966230275378703E-2</v>
      </c>
      <c r="U42" s="19">
        <f t="shared" si="2"/>
        <v>3.0785825942876652</v>
      </c>
      <c r="V42" s="19">
        <f>Q42*I42</f>
        <v>-1.6330394644836883</v>
      </c>
      <c r="W42" s="19">
        <f>R42*I42</f>
        <v>166.03421798324823</v>
      </c>
      <c r="X42" s="19">
        <f>S42*I42</f>
        <v>134.51729819630239</v>
      </c>
      <c r="Y42" s="19">
        <f>T42*I42</f>
        <v>-8.7620672034544427</v>
      </c>
      <c r="Z42" s="19">
        <f t="shared" si="3"/>
        <v>290.15640951161254</v>
      </c>
      <c r="AA42" s="12">
        <f>Q42/J42</f>
        <v>-6.8484895921983968E-4</v>
      </c>
      <c r="AB42" s="13">
        <f>R42/J42</f>
        <v>6.9629891900168051E-2</v>
      </c>
      <c r="AC42" s="12">
        <f>S42/J42</f>
        <v>5.641261810897448E-2</v>
      </c>
      <c r="AD42" s="12">
        <f>T42/J42</f>
        <v>-3.674554556339079E-3</v>
      </c>
      <c r="AE42" s="19">
        <f>50*J42</f>
        <v>1265</v>
      </c>
      <c r="AF42" s="19">
        <f>70*J42</f>
        <v>1771</v>
      </c>
      <c r="AG42" s="19">
        <f>100*J42</f>
        <v>2530</v>
      </c>
      <c r="AH42" s="12">
        <f>(12*AE42)/L42</f>
        <v>0.22950274405454849</v>
      </c>
      <c r="AI42" s="12">
        <f>(12*AF42)/L42</f>
        <v>0.32130384167636789</v>
      </c>
      <c r="AJ42" s="15">
        <f>(12*AG42)/L42</f>
        <v>0.45900548810909697</v>
      </c>
      <c r="AK42" s="4">
        <v>0</v>
      </c>
      <c r="AL42" s="4" t="s">
        <v>301</v>
      </c>
    </row>
    <row r="43" spans="1:38" ht="15.75" thickBot="1" x14ac:dyDescent="0.3">
      <c r="A43" s="4" t="s">
        <v>105</v>
      </c>
      <c r="B43" s="4" t="s">
        <v>94</v>
      </c>
      <c r="C43" s="4" t="s">
        <v>95</v>
      </c>
      <c r="D43" s="4" t="s">
        <v>106</v>
      </c>
      <c r="E43" s="4">
        <v>109</v>
      </c>
      <c r="F43" s="4">
        <v>10002</v>
      </c>
      <c r="G43" s="4">
        <v>40.442484999999998</v>
      </c>
      <c r="H43" s="4">
        <v>-3.711516</v>
      </c>
      <c r="I43" s="4">
        <v>114.76</v>
      </c>
      <c r="J43" s="4">
        <v>23.2</v>
      </c>
      <c r="K43" s="3">
        <f t="shared" si="0"/>
        <v>2662.4320000000002</v>
      </c>
      <c r="L43" s="14">
        <v>73576</v>
      </c>
      <c r="M43" s="16">
        <f t="shared" si="1"/>
        <v>1.0897820435912817</v>
      </c>
      <c r="N43" s="5">
        <v>30728</v>
      </c>
      <c r="O43" s="4">
        <v>2.915</v>
      </c>
      <c r="P43" s="3">
        <v>1.92063056546357</v>
      </c>
      <c r="Q43" s="19">
        <f>Coeficiente!$E$19*(Sheet1!M43-Coeficiente!$B$5)</f>
        <v>-8.5107153972156568E-2</v>
      </c>
      <c r="R43" s="19">
        <f>Coeficiente!$E$21*(Sheet1!O43-Coeficiente!$B$6)</f>
        <v>1.7513557568027334</v>
      </c>
      <c r="S43" s="19">
        <f>Coeficiente!$E$20*(Sheet1!N43-Coeficiente!$B$7)</f>
        <v>1.6938336096726547</v>
      </c>
      <c r="T43" s="19">
        <f>Coeficiente!$E$22*(Sheet1!P43-Coeficiente!$B$8)</f>
        <v>-0.2573385566553052</v>
      </c>
      <c r="U43" s="19">
        <f t="shared" si="2"/>
        <v>3.102743655847926</v>
      </c>
      <c r="V43" s="19">
        <f>Q43*I43</f>
        <v>-9.7668969898446889</v>
      </c>
      <c r="W43" s="19">
        <f>R43*I43</f>
        <v>200.98558665068168</v>
      </c>
      <c r="X43" s="19">
        <f>S43*I43</f>
        <v>194.38434504603387</v>
      </c>
      <c r="Y43" s="19">
        <f>T43*I43</f>
        <v>-29.532172761762826</v>
      </c>
      <c r="Z43" s="19">
        <f t="shared" si="3"/>
        <v>356.07086194510805</v>
      </c>
      <c r="AA43" s="12">
        <f>Q43/J43</f>
        <v>-3.66841180914468E-3</v>
      </c>
      <c r="AB43" s="13">
        <f>R43/J43</f>
        <v>7.5489472275979894E-2</v>
      </c>
      <c r="AC43" s="12">
        <f>S43/J43</f>
        <v>7.3010069382442019E-2</v>
      </c>
      <c r="AD43" s="12">
        <f>T43/J43</f>
        <v>-1.1092179166176948E-2</v>
      </c>
      <c r="AE43" s="19">
        <f>50*J43</f>
        <v>1160</v>
      </c>
      <c r="AF43" s="19">
        <f>70*J43</f>
        <v>1624</v>
      </c>
      <c r="AG43" s="19">
        <f>100*J43</f>
        <v>2320</v>
      </c>
      <c r="AH43" s="12">
        <f>(12*AE43)/L43</f>
        <v>0.18919212786778297</v>
      </c>
      <c r="AI43" s="12">
        <f>(12*AF43)/L43</f>
        <v>0.26486897901489614</v>
      </c>
      <c r="AJ43" s="15">
        <f>(12*AG43)/L43</f>
        <v>0.37838425573556594</v>
      </c>
      <c r="AK43" s="4">
        <v>0</v>
      </c>
      <c r="AL43" s="4" t="s">
        <v>301</v>
      </c>
    </row>
    <row r="44" spans="1:38" ht="15.75" thickBot="1" x14ac:dyDescent="0.3">
      <c r="A44" s="4" t="s">
        <v>107</v>
      </c>
      <c r="B44" s="4" t="s">
        <v>108</v>
      </c>
      <c r="C44" s="4" t="s">
        <v>109</v>
      </c>
      <c r="D44" s="4" t="s">
        <v>110</v>
      </c>
      <c r="E44" s="4">
        <v>59</v>
      </c>
      <c r="F44" s="4">
        <v>20146</v>
      </c>
      <c r="G44" s="4">
        <v>40.477756999999997</v>
      </c>
      <c r="H44" s="4">
        <v>-3.7276790000000002</v>
      </c>
      <c r="I44" s="4">
        <v>103.91</v>
      </c>
      <c r="J44" s="4">
        <v>18.3</v>
      </c>
      <c r="K44" s="3">
        <f t="shared" si="0"/>
        <v>1901.5530000000001</v>
      </c>
      <c r="L44" s="14">
        <v>58355</v>
      </c>
      <c r="M44" s="16">
        <f t="shared" si="1"/>
        <v>0.2928621066216619</v>
      </c>
      <c r="N44" s="5">
        <v>22816</v>
      </c>
      <c r="O44" s="4">
        <v>7.0540000000000003</v>
      </c>
      <c r="P44" s="3">
        <v>1.127992375399451</v>
      </c>
      <c r="Q44" s="19">
        <f>Coeficiente!$E$19*(Sheet1!M44-Coeficiente!$B$5)</f>
        <v>-0.17633211431316836</v>
      </c>
      <c r="R44" s="19">
        <f>Coeficiente!$E$21*(Sheet1!O44-Coeficiente!$B$6)</f>
        <v>-1.5217999151830104</v>
      </c>
      <c r="S44" s="19">
        <f>Coeficiente!$E$20*(Sheet1!N44-Coeficiente!$B$7)</f>
        <v>0.15420246556212208</v>
      </c>
      <c r="T44" s="19">
        <f>Coeficiente!$E$22*(Sheet1!P44-Coeficiente!$B$8)</f>
        <v>-0.39052505786929492</v>
      </c>
      <c r="U44" s="19">
        <f t="shared" si="2"/>
        <v>-1.9344546218033516</v>
      </c>
      <c r="V44" s="19">
        <f>Q44*I44</f>
        <v>-18.322669998281324</v>
      </c>
      <c r="W44" s="19">
        <f>R44*I44</f>
        <v>-158.13022918666661</v>
      </c>
      <c r="X44" s="19">
        <f>S44*I44</f>
        <v>16.023178196560107</v>
      </c>
      <c r="Y44" s="19">
        <f>T44*I44</f>
        <v>-40.579458763198431</v>
      </c>
      <c r="Z44" s="19">
        <f t="shared" si="3"/>
        <v>-201.00917975158626</v>
      </c>
      <c r="AA44" s="12">
        <f>Q44/J44</f>
        <v>-9.635634661921768E-3</v>
      </c>
      <c r="AB44" s="13">
        <f>R44/J44</f>
        <v>-8.3158465310547006E-2</v>
      </c>
      <c r="AC44" s="12">
        <f>S44/J44</f>
        <v>8.4263642383673263E-3</v>
      </c>
      <c r="AD44" s="12">
        <f>T44/J44</f>
        <v>-2.1340167096682783E-2</v>
      </c>
      <c r="AE44" s="19">
        <f>50*J44</f>
        <v>915</v>
      </c>
      <c r="AF44" s="19">
        <f>70*J44</f>
        <v>1281</v>
      </c>
      <c r="AG44" s="19">
        <f>100*J44</f>
        <v>1830</v>
      </c>
      <c r="AH44" s="12">
        <f>(12*AE44)/L44</f>
        <v>0.18815868391740212</v>
      </c>
      <c r="AI44" s="12">
        <f>(12*AF44)/L44</f>
        <v>0.26342215748436293</v>
      </c>
      <c r="AJ44" s="15">
        <f>(12*AG44)/L44</f>
        <v>0.37631736783480424</v>
      </c>
      <c r="AK44" s="4">
        <v>1</v>
      </c>
      <c r="AL44" s="4" t="s">
        <v>302</v>
      </c>
    </row>
    <row r="45" spans="1:38" ht="15.75" thickBot="1" x14ac:dyDescent="0.3">
      <c r="A45" s="4" t="s">
        <v>111</v>
      </c>
      <c r="B45" s="4" t="s">
        <v>108</v>
      </c>
      <c r="C45" s="4" t="s">
        <v>109</v>
      </c>
      <c r="D45" s="4" t="s">
        <v>112</v>
      </c>
      <c r="E45" s="4">
        <v>60</v>
      </c>
      <c r="F45" s="4">
        <v>21594</v>
      </c>
      <c r="G45" s="4">
        <v>40.476990000000001</v>
      </c>
      <c r="H45" s="4">
        <v>-3.7098330000000002</v>
      </c>
      <c r="I45" s="4">
        <v>64.2</v>
      </c>
      <c r="J45" s="4">
        <v>21.2</v>
      </c>
      <c r="K45" s="3">
        <f t="shared" si="0"/>
        <v>1361.04</v>
      </c>
      <c r="L45" s="14">
        <v>41799</v>
      </c>
      <c r="M45" s="16">
        <f t="shared" si="1"/>
        <v>0.27785495971103086</v>
      </c>
      <c r="N45" s="5">
        <v>17793</v>
      </c>
      <c r="O45" s="4">
        <v>6.6859999999999999</v>
      </c>
      <c r="P45" s="3">
        <v>2.0248933838290668</v>
      </c>
      <c r="Q45" s="19">
        <f>Coeficiente!$E$19*(Sheet1!M45-Coeficiente!$B$5)</f>
        <v>-0.17805001132922238</v>
      </c>
      <c r="R45" s="19">
        <f>Coeficiente!$E$21*(Sheet1!O45-Coeficiente!$B$6)</f>
        <v>-1.2307824502661815</v>
      </c>
      <c r="S45" s="19">
        <f>Coeficiente!$E$20*(Sheet1!N45-Coeficiente!$B$7)</f>
        <v>-0.82324536518449132</v>
      </c>
      <c r="T45" s="19">
        <f>Coeficiente!$E$22*(Sheet1!P45-Coeficiente!$B$8)</f>
        <v>-0.23981934024751775</v>
      </c>
      <c r="U45" s="19">
        <f t="shared" si="2"/>
        <v>-2.4718971670274135</v>
      </c>
      <c r="V45" s="19">
        <f>Q45*I45</f>
        <v>-11.430810727336077</v>
      </c>
      <c r="W45" s="19">
        <f>R45*I45</f>
        <v>-79.016233307088854</v>
      </c>
      <c r="X45" s="19">
        <f>S45*I45</f>
        <v>-52.852352444844342</v>
      </c>
      <c r="Y45" s="19">
        <f>T45*I45</f>
        <v>-15.396401643890639</v>
      </c>
      <c r="Z45" s="19">
        <f t="shared" si="3"/>
        <v>-158.6957981231599</v>
      </c>
      <c r="AA45" s="12">
        <f>Q45/J45</f>
        <v>-8.3985854400576605E-3</v>
      </c>
      <c r="AB45" s="13">
        <f>R45/J45</f>
        <v>-5.805577595595196E-2</v>
      </c>
      <c r="AC45" s="12">
        <f>S45/J45</f>
        <v>-3.8832328546438269E-2</v>
      </c>
      <c r="AD45" s="12">
        <f>T45/J45</f>
        <v>-1.131223303054329E-2</v>
      </c>
      <c r="AE45" s="19">
        <f>50*J45</f>
        <v>1060</v>
      </c>
      <c r="AF45" s="19">
        <f>70*J45</f>
        <v>1484</v>
      </c>
      <c r="AG45" s="19">
        <f>100*J45</f>
        <v>2120</v>
      </c>
      <c r="AH45" s="12">
        <f>(12*AE45)/L45</f>
        <v>0.30431350032297422</v>
      </c>
      <c r="AI45" s="12">
        <f>(12*AF45)/L45</f>
        <v>0.42603890045216392</v>
      </c>
      <c r="AJ45" s="15">
        <f>(12*AG45)/L45</f>
        <v>0.60862700064594843</v>
      </c>
      <c r="AK45" s="4">
        <v>1</v>
      </c>
      <c r="AL45" s="4" t="s">
        <v>302</v>
      </c>
    </row>
    <row r="46" spans="1:38" ht="15.75" thickBot="1" x14ac:dyDescent="0.3">
      <c r="A46" s="4" t="s">
        <v>113</v>
      </c>
      <c r="B46" s="4" t="s">
        <v>108</v>
      </c>
      <c r="C46" s="4" t="s">
        <v>109</v>
      </c>
      <c r="D46" s="4" t="s">
        <v>114</v>
      </c>
      <c r="E46" s="4">
        <v>26</v>
      </c>
      <c r="F46" s="4">
        <v>13559</v>
      </c>
      <c r="G46" s="4">
        <v>40.481965000000002</v>
      </c>
      <c r="H46" s="4">
        <v>-3.6951160000000001</v>
      </c>
      <c r="I46" s="4">
        <v>111.71</v>
      </c>
      <c r="J46" s="4">
        <v>17.399999999999999</v>
      </c>
      <c r="K46" s="3">
        <f t="shared" si="0"/>
        <v>1943.7539999999997</v>
      </c>
      <c r="L46" s="14">
        <v>68059</v>
      </c>
      <c r="M46" s="16">
        <f t="shared" si="1"/>
        <v>0.19175455417066153</v>
      </c>
      <c r="N46" s="5">
        <v>26477</v>
      </c>
      <c r="O46" s="4">
        <v>7.2519999999999998</v>
      </c>
      <c r="P46" s="3">
        <v>0.46796312078716967</v>
      </c>
      <c r="Q46" s="19">
        <f>Coeficiente!$E$19*(Sheet1!M46-Coeficiente!$B$5)</f>
        <v>-0.18790609061195795</v>
      </c>
      <c r="R46" s="19">
        <f>Coeficiente!$E$21*(Sheet1!O46-Coeficiente!$B$6)</f>
        <v>-1.6783799642415209</v>
      </c>
      <c r="S46" s="19">
        <f>Coeficiente!$E$20*(Sheet1!N46-Coeficiente!$B$7)</f>
        <v>0.86661268024724092</v>
      </c>
      <c r="T46" s="19">
        <f>Coeficiente!$E$22*(Sheet1!P46-Coeficiente!$B$8)</f>
        <v>-0.50142936228285884</v>
      </c>
      <c r="U46" s="19">
        <f t="shared" si="2"/>
        <v>-1.5011027368890968</v>
      </c>
      <c r="V46" s="19">
        <f>Q46*I46</f>
        <v>-20.990989382261823</v>
      </c>
      <c r="W46" s="19">
        <f>R46*I46</f>
        <v>-187.49182580542029</v>
      </c>
      <c r="X46" s="19">
        <f>S46*I46</f>
        <v>96.809302510419272</v>
      </c>
      <c r="Y46" s="19">
        <f>T46*I46</f>
        <v>-56.014674060618155</v>
      </c>
      <c r="Z46" s="19">
        <f t="shared" si="3"/>
        <v>-167.68818673788101</v>
      </c>
      <c r="AA46" s="12">
        <f>Q46/J46</f>
        <v>-1.0799200609882643E-2</v>
      </c>
      <c r="AB46" s="13">
        <f>R46/J46</f>
        <v>-9.645861863457017E-2</v>
      </c>
      <c r="AC46" s="12">
        <f>S46/J46</f>
        <v>4.980532645099086E-2</v>
      </c>
      <c r="AD46" s="12">
        <f>T46/J46</f>
        <v>-2.8817779441543612E-2</v>
      </c>
      <c r="AE46" s="19">
        <f>50*J46</f>
        <v>869.99999999999989</v>
      </c>
      <c r="AF46" s="19">
        <f>70*J46</f>
        <v>1218</v>
      </c>
      <c r="AG46" s="19">
        <f>100*J46</f>
        <v>1739.9999999999998</v>
      </c>
      <c r="AH46" s="12">
        <f>(12*AE46)/L46</f>
        <v>0.15339631790064501</v>
      </c>
      <c r="AI46" s="12">
        <f>(12*AF46)/L46</f>
        <v>0.21475484506090303</v>
      </c>
      <c r="AJ46" s="15">
        <f>(12*AG46)/L46</f>
        <v>0.30679263580129001</v>
      </c>
      <c r="AK46" s="4">
        <v>1</v>
      </c>
      <c r="AL46" s="4" t="s">
        <v>302</v>
      </c>
    </row>
    <row r="47" spans="1:38" ht="15.75" thickBot="1" x14ac:dyDescent="0.3">
      <c r="A47" s="4" t="s">
        <v>115</v>
      </c>
      <c r="B47" s="4" t="s">
        <v>108</v>
      </c>
      <c r="C47" s="4" t="s">
        <v>109</v>
      </c>
      <c r="D47" s="4" t="s">
        <v>116</v>
      </c>
      <c r="E47" s="4">
        <v>112</v>
      </c>
      <c r="F47" s="4">
        <v>27395</v>
      </c>
      <c r="G47" s="4">
        <v>40.500973000000002</v>
      </c>
      <c r="H47" s="4">
        <v>-3.6787130000000001</v>
      </c>
      <c r="I47" s="4">
        <v>81.430000000000007</v>
      </c>
      <c r="J47" s="4">
        <v>18.899999999999999</v>
      </c>
      <c r="K47" s="3">
        <f t="shared" si="0"/>
        <v>1539.027</v>
      </c>
      <c r="L47" s="14">
        <v>56095</v>
      </c>
      <c r="M47" s="16">
        <f t="shared" si="1"/>
        <v>0.40883372878262453</v>
      </c>
      <c r="N47" s="5">
        <v>20138</v>
      </c>
      <c r="O47" s="4">
        <v>9.5619999999999994</v>
      </c>
      <c r="P47" s="3">
        <v>3.210587493447393</v>
      </c>
      <c r="Q47" s="19">
        <f>Coeficiente!$E$19*(Sheet1!M47-Coeficiente!$B$5)</f>
        <v>-0.1630566193211038</v>
      </c>
      <c r="R47" s="19">
        <f>Coeficiente!$E$21*(Sheet1!O47-Coeficiente!$B$6)</f>
        <v>-3.5051472032574829</v>
      </c>
      <c r="S47" s="19">
        <f>Coeficiente!$E$20*(Sheet1!N47-Coeficiente!$B$7)</f>
        <v>-0.36692142269975941</v>
      </c>
      <c r="T47" s="19">
        <f>Coeficiente!$E$22*(Sheet1!P47-Coeficiente!$B$8)</f>
        <v>-4.0587897768917025E-2</v>
      </c>
      <c r="U47" s="19">
        <f t="shared" si="2"/>
        <v>-4.0757131430472633</v>
      </c>
      <c r="V47" s="19">
        <f>Q47*I47</f>
        <v>-13.277700511317484</v>
      </c>
      <c r="W47" s="19">
        <f>R47*I47</f>
        <v>-285.42413676125688</v>
      </c>
      <c r="X47" s="19">
        <f>S47*I47</f>
        <v>-29.878411450441412</v>
      </c>
      <c r="Y47" s="19">
        <f>T47*I47</f>
        <v>-3.3050725153229137</v>
      </c>
      <c r="Z47" s="19">
        <f t="shared" si="3"/>
        <v>-331.88532123833875</v>
      </c>
      <c r="AA47" s="12">
        <f>Q47/J47</f>
        <v>-8.6273343556139588E-3</v>
      </c>
      <c r="AB47" s="13">
        <f>R47/J47</f>
        <v>-0.18545752398187743</v>
      </c>
      <c r="AC47" s="12">
        <f>S47/J47</f>
        <v>-1.941383188887616E-2</v>
      </c>
      <c r="AD47" s="12">
        <f>T47/J47</f>
        <v>-2.1475078184612184E-3</v>
      </c>
      <c r="AE47" s="19">
        <f>50*J47</f>
        <v>944.99999999999989</v>
      </c>
      <c r="AF47" s="19">
        <f>70*J47</f>
        <v>1323</v>
      </c>
      <c r="AG47" s="19">
        <f>100*J47</f>
        <v>1889.9999999999998</v>
      </c>
      <c r="AH47" s="12">
        <f>(12*AE47)/L47</f>
        <v>0.20215705499598891</v>
      </c>
      <c r="AI47" s="12">
        <f>(12*AF47)/L47</f>
        <v>0.28301987699438452</v>
      </c>
      <c r="AJ47" s="15">
        <f>(12*AG47)/L47</f>
        <v>0.40431410999197781</v>
      </c>
      <c r="AK47" s="4">
        <v>1</v>
      </c>
      <c r="AL47" s="4" t="s">
        <v>302</v>
      </c>
    </row>
    <row r="48" spans="1:38" ht="15.75" thickBot="1" x14ac:dyDescent="0.3">
      <c r="A48" s="4" t="s">
        <v>117</v>
      </c>
      <c r="B48" s="4" t="s">
        <v>108</v>
      </c>
      <c r="C48" s="4" t="s">
        <v>109</v>
      </c>
      <c r="D48" s="4" t="s">
        <v>118</v>
      </c>
      <c r="E48" s="4">
        <v>20</v>
      </c>
      <c r="F48" s="4">
        <v>13519</v>
      </c>
      <c r="G48" s="4">
        <v>40.498254000000003</v>
      </c>
      <c r="H48" s="4">
        <v>-3.7179099999999998</v>
      </c>
      <c r="I48" s="4">
        <v>148.87</v>
      </c>
      <c r="J48" s="4">
        <v>17.399999999999999</v>
      </c>
      <c r="K48" s="3">
        <f t="shared" si="0"/>
        <v>2590.3379999999997</v>
      </c>
      <c r="L48" s="14">
        <v>86457</v>
      </c>
      <c r="M48" s="16">
        <f t="shared" si="1"/>
        <v>0.14793993638582736</v>
      </c>
      <c r="N48" s="5">
        <v>29407</v>
      </c>
      <c r="O48" s="4">
        <v>9.1069999999999993</v>
      </c>
      <c r="P48" s="3">
        <v>2.9494614747307368</v>
      </c>
      <c r="Q48" s="19">
        <f>Coeficiente!$E$19*(Sheet1!M48-Coeficiente!$B$5)</f>
        <v>-0.19292163431259254</v>
      </c>
      <c r="R48" s="19">
        <f>Coeficiente!$E$21*(Sheet1!O48-Coeficiente!$B$6)</f>
        <v>-3.1453294137543386</v>
      </c>
      <c r="S48" s="19">
        <f>Coeficiente!$E$20*(Sheet1!N48-Coeficiente!$B$7)</f>
        <v>1.4367743653134517</v>
      </c>
      <c r="T48" s="19">
        <f>Coeficiente!$E$22*(Sheet1!P48-Coeficiente!$B$8)</f>
        <v>-8.4464739996260252E-2</v>
      </c>
      <c r="U48" s="19">
        <f t="shared" si="2"/>
        <v>-1.9859414227497396</v>
      </c>
      <c r="V48" s="19">
        <f>Q48*I48</f>
        <v>-28.720243700115653</v>
      </c>
      <c r="W48" s="19">
        <f>R48*I48</f>
        <v>-468.24518982560841</v>
      </c>
      <c r="X48" s="19">
        <f>S48*I48</f>
        <v>213.89259976421357</v>
      </c>
      <c r="Y48" s="19">
        <f>T48*I48</f>
        <v>-12.574265843243264</v>
      </c>
      <c r="Z48" s="19">
        <f t="shared" si="3"/>
        <v>-295.64709960475375</v>
      </c>
      <c r="AA48" s="12">
        <f>Q48/J48</f>
        <v>-1.1087450247850147E-2</v>
      </c>
      <c r="AB48" s="13">
        <f>R48/J48</f>
        <v>-0.18076605826174361</v>
      </c>
      <c r="AC48" s="12">
        <f>S48/J48</f>
        <v>8.2573239385830569E-2</v>
      </c>
      <c r="AD48" s="12">
        <f>T48/J48</f>
        <v>-4.8542954020839232E-3</v>
      </c>
      <c r="AE48" s="19">
        <f>50*J48</f>
        <v>869.99999999999989</v>
      </c>
      <c r="AF48" s="19">
        <f>70*J48</f>
        <v>1218</v>
      </c>
      <c r="AG48" s="19">
        <f>100*J48</f>
        <v>1739.9999999999998</v>
      </c>
      <c r="AH48" s="12">
        <f>(12*AE48)/L48</f>
        <v>0.12075366945417951</v>
      </c>
      <c r="AI48" s="12">
        <f>(12*AF48)/L48</f>
        <v>0.16905513723585136</v>
      </c>
      <c r="AJ48" s="15">
        <f>(12*AG48)/L48</f>
        <v>0.24150733890835901</v>
      </c>
      <c r="AK48" s="4">
        <v>1</v>
      </c>
      <c r="AL48" s="4" t="s">
        <v>302</v>
      </c>
    </row>
    <row r="49" spans="1:38" ht="15.75" thickBot="1" x14ac:dyDescent="0.3">
      <c r="A49" s="4" t="s">
        <v>119</v>
      </c>
      <c r="B49" s="4" t="s">
        <v>108</v>
      </c>
      <c r="C49" s="4" t="s">
        <v>109</v>
      </c>
      <c r="D49" s="4" t="s">
        <v>120</v>
      </c>
      <c r="E49" s="4">
        <v>8</v>
      </c>
      <c r="F49" s="4">
        <v>7022</v>
      </c>
      <c r="G49" s="4">
        <v>40.540126000000001</v>
      </c>
      <c r="H49" s="4">
        <v>-3.690763</v>
      </c>
      <c r="I49" s="4">
        <v>104.27</v>
      </c>
      <c r="J49" s="4">
        <v>16.600000000000001</v>
      </c>
      <c r="K49" s="3">
        <f t="shared" si="0"/>
        <v>1730.8820000000001</v>
      </c>
      <c r="L49" s="14">
        <v>82549</v>
      </c>
      <c r="M49" s="16">
        <f t="shared" si="1"/>
        <v>0.11392765593847907</v>
      </c>
      <c r="N49" s="5">
        <v>27155</v>
      </c>
      <c r="O49" s="4">
        <v>13.715999999999999</v>
      </c>
      <c r="P49" s="3">
        <v>2.8991509629322838</v>
      </c>
      <c r="Q49" s="19">
        <f>Coeficiente!$E$19*(Sheet1!M49-Coeficiente!$B$5)</f>
        <v>-0.19681508557535726</v>
      </c>
      <c r="R49" s="19">
        <f>Coeficiente!$E$21*(Sheet1!O49-Coeficiente!$B$6)</f>
        <v>-6.7901650001719016</v>
      </c>
      <c r="S49" s="19">
        <f>Coeficiente!$E$20*(Sheet1!N49-Coeficiente!$B$7)</f>
        <v>0.99854770498269851</v>
      </c>
      <c r="T49" s="19">
        <f>Coeficiente!$E$22*(Sheet1!P49-Coeficiente!$B$8)</f>
        <v>-9.2918383947202199E-2</v>
      </c>
      <c r="U49" s="19">
        <f t="shared" si="2"/>
        <v>-6.0813507647117628</v>
      </c>
      <c r="V49" s="19">
        <f>Q49*I49</f>
        <v>-20.521908972942501</v>
      </c>
      <c r="W49" s="19">
        <f>R49*I49</f>
        <v>-708.01050456792416</v>
      </c>
      <c r="X49" s="19">
        <f>S49*I49</f>
        <v>104.11856919854597</v>
      </c>
      <c r="Y49" s="19">
        <f>T49*I49</f>
        <v>-9.6885998941747733</v>
      </c>
      <c r="Z49" s="19">
        <f t="shared" si="3"/>
        <v>-634.10244423649544</v>
      </c>
      <c r="AA49" s="12">
        <f>Q49/J49</f>
        <v>-1.1856330456346821E-2</v>
      </c>
      <c r="AB49" s="13">
        <f>R49/J49</f>
        <v>-0.4090460843477049</v>
      </c>
      <c r="AC49" s="12">
        <f>S49/J49</f>
        <v>6.0153476203777013E-2</v>
      </c>
      <c r="AD49" s="12">
        <f>T49/J49</f>
        <v>-5.5974930088676022E-3</v>
      </c>
      <c r="AE49" s="19">
        <f>50*J49</f>
        <v>830.00000000000011</v>
      </c>
      <c r="AF49" s="19">
        <f>70*J49</f>
        <v>1162</v>
      </c>
      <c r="AG49" s="19">
        <f>100*J49</f>
        <v>1660.0000000000002</v>
      </c>
      <c r="AH49" s="12">
        <f>(12*AE49)/L49</f>
        <v>0.12065561060703342</v>
      </c>
      <c r="AI49" s="12">
        <f>(12*AF49)/L49</f>
        <v>0.16891785484984675</v>
      </c>
      <c r="AJ49" s="15">
        <f>(12*AG49)/L49</f>
        <v>0.24131122121406684</v>
      </c>
      <c r="AK49" s="4">
        <v>1</v>
      </c>
      <c r="AL49" s="4" t="s">
        <v>302</v>
      </c>
    </row>
    <row r="50" spans="1:38" ht="15.75" thickBot="1" x14ac:dyDescent="0.3">
      <c r="A50" s="4" t="s">
        <v>121</v>
      </c>
      <c r="B50" s="4" t="s">
        <v>122</v>
      </c>
      <c r="C50" s="4" t="s">
        <v>123</v>
      </c>
      <c r="D50" s="4" t="s">
        <v>124</v>
      </c>
      <c r="E50" s="4">
        <v>98</v>
      </c>
      <c r="F50" s="4">
        <v>6373</v>
      </c>
      <c r="G50" s="4">
        <v>40.42389</v>
      </c>
      <c r="H50" s="4">
        <v>-3.747395</v>
      </c>
      <c r="I50" s="4">
        <v>86.13</v>
      </c>
      <c r="J50" s="4">
        <v>20</v>
      </c>
      <c r="K50" s="3">
        <f t="shared" si="0"/>
        <v>1722.6</v>
      </c>
      <c r="L50" s="14">
        <v>52900</v>
      </c>
      <c r="M50" s="16">
        <f t="shared" si="1"/>
        <v>1.5377373293582302</v>
      </c>
      <c r="N50" s="5">
        <v>23494</v>
      </c>
      <c r="O50" s="4">
        <v>3.8010000000000002</v>
      </c>
      <c r="P50" s="3">
        <v>1.3922918368140631</v>
      </c>
      <c r="Q50" s="19">
        <f>Coeficiente!$E$19*(Sheet1!M50-Coeficiente!$B$5)</f>
        <v>-3.3828849486477318E-2</v>
      </c>
      <c r="R50" s="19">
        <f>Coeficiente!$E$21*(Sheet1!O50-Coeficiente!$B$6)</f>
        <v>1.0506995776823251</v>
      </c>
      <c r="S50" s="19">
        <f>Coeficiente!$E$20*(Sheet1!N50-Coeficiente!$B$7)</f>
        <v>0.28613749029757973</v>
      </c>
      <c r="T50" s="19">
        <f>Coeficiente!$E$22*(Sheet1!P50-Coeficiente!$B$8)</f>
        <v>-0.34611498404266472</v>
      </c>
      <c r="U50" s="19">
        <f t="shared" si="2"/>
        <v>0.9568932344507628</v>
      </c>
      <c r="V50" s="19">
        <f>Q50*I50</f>
        <v>-2.9136788062702914</v>
      </c>
      <c r="W50" s="19">
        <f>R50*I50</f>
        <v>90.496754625778664</v>
      </c>
      <c r="X50" s="19">
        <f>S50*I50</f>
        <v>24.645022039330541</v>
      </c>
      <c r="Y50" s="19">
        <f>T50*I50</f>
        <v>-29.810883575594712</v>
      </c>
      <c r="Z50" s="19">
        <f t="shared" si="3"/>
        <v>82.417214283244192</v>
      </c>
      <c r="AA50" s="12">
        <f>Q50/J50</f>
        <v>-1.6914424743238658E-3</v>
      </c>
      <c r="AB50" s="13">
        <f>R50/J50</f>
        <v>5.2534978884116255E-2</v>
      </c>
      <c r="AC50" s="12">
        <f>S50/J50</f>
        <v>1.4306874514878987E-2</v>
      </c>
      <c r="AD50" s="12">
        <f>T50/J50</f>
        <v>-1.7305749202133236E-2</v>
      </c>
      <c r="AE50" s="19">
        <f>50*J50</f>
        <v>1000</v>
      </c>
      <c r="AF50" s="19">
        <f>70*J50</f>
        <v>1400</v>
      </c>
      <c r="AG50" s="19">
        <f>100*J50</f>
        <v>2000</v>
      </c>
      <c r="AH50" s="12">
        <f>(12*AE50)/L50</f>
        <v>0.22684310018903592</v>
      </c>
      <c r="AI50" s="12">
        <f>(12*AF50)/L50</f>
        <v>0.31758034026465026</v>
      </c>
      <c r="AJ50" s="15">
        <f>(12*AG50)/L50</f>
        <v>0.45368620037807184</v>
      </c>
      <c r="AK50" s="4">
        <v>1</v>
      </c>
      <c r="AL50" s="4" t="s">
        <v>302</v>
      </c>
    </row>
    <row r="51" spans="1:38" ht="15.75" thickBot="1" x14ac:dyDescent="0.3">
      <c r="A51" s="4" t="s">
        <v>125</v>
      </c>
      <c r="B51" s="4" t="s">
        <v>122</v>
      </c>
      <c r="C51" s="4" t="s">
        <v>123</v>
      </c>
      <c r="D51" s="4" t="s">
        <v>126</v>
      </c>
      <c r="E51" s="4">
        <v>332</v>
      </c>
      <c r="F51" s="4">
        <v>13077</v>
      </c>
      <c r="G51" s="4">
        <v>40.428047999999997</v>
      </c>
      <c r="H51" s="4">
        <v>-3.7176149999999999</v>
      </c>
      <c r="I51" s="4">
        <v>109.19</v>
      </c>
      <c r="J51" s="4">
        <v>25</v>
      </c>
      <c r="K51" s="3">
        <f t="shared" si="0"/>
        <v>2729.75</v>
      </c>
      <c r="L51" s="14">
        <v>65987</v>
      </c>
      <c r="M51" s="16">
        <f t="shared" si="1"/>
        <v>2.5388085952435571</v>
      </c>
      <c r="N51" s="5">
        <v>28664</v>
      </c>
      <c r="O51" s="4">
        <v>1.7170000000000001</v>
      </c>
      <c r="P51" s="3">
        <v>1.980438121412982</v>
      </c>
      <c r="Q51" s="19">
        <f>Coeficiente!$E$19*(Sheet1!M51-Coeficiente!$B$5)</f>
        <v>8.0765706744830565E-2</v>
      </c>
      <c r="R51" s="19">
        <f>Coeficiente!$E$21*(Sheet1!O51-Coeficiente!$B$6)</f>
        <v>2.6987441344395831</v>
      </c>
      <c r="S51" s="19">
        <f>Coeficiente!$E$20*(Sheet1!N51-Coeficiente!$B$7)</f>
        <v>1.2921907025133854</v>
      </c>
      <c r="T51" s="19">
        <f>Coeficiente!$E$22*(Sheet1!P51-Coeficiente!$B$8)</f>
        <v>-0.2472891302929219</v>
      </c>
      <c r="U51" s="19">
        <f t="shared" si="2"/>
        <v>3.8244114134048774</v>
      </c>
      <c r="V51" s="19">
        <f>Q51*I51</f>
        <v>8.8188075194680486</v>
      </c>
      <c r="W51" s="19">
        <f>R51*I51</f>
        <v>294.67587203945806</v>
      </c>
      <c r="X51" s="19">
        <f>S51*I51</f>
        <v>141.09430280743655</v>
      </c>
      <c r="Y51" s="19">
        <f>T51*I51</f>
        <v>-27.001500136684143</v>
      </c>
      <c r="Z51" s="19">
        <f t="shared" si="3"/>
        <v>417.58748222967847</v>
      </c>
      <c r="AA51" s="12">
        <f>Q51/J51</f>
        <v>3.2306282697932226E-3</v>
      </c>
      <c r="AB51" s="13">
        <f>R51/J51</f>
        <v>0.10794976537758333</v>
      </c>
      <c r="AC51" s="12">
        <f>S51/J51</f>
        <v>5.168762810053542E-2</v>
      </c>
      <c r="AD51" s="12">
        <f>T51/J51</f>
        <v>-9.8915652117168764E-3</v>
      </c>
      <c r="AE51" s="19">
        <f>50*J51</f>
        <v>1250</v>
      </c>
      <c r="AF51" s="19">
        <f>70*J51</f>
        <v>1750</v>
      </c>
      <c r="AG51" s="19">
        <f>100*J51</f>
        <v>2500</v>
      </c>
      <c r="AH51" s="12">
        <f>(12*AE51)/L51</f>
        <v>0.22731750193219877</v>
      </c>
      <c r="AI51" s="12">
        <f>(12*AF51)/L51</f>
        <v>0.31824450270507826</v>
      </c>
      <c r="AJ51" s="15">
        <f>(12*AG51)/L51</f>
        <v>0.45463500386439754</v>
      </c>
      <c r="AK51" s="4">
        <v>0</v>
      </c>
      <c r="AL51" s="4" t="s">
        <v>301</v>
      </c>
    </row>
    <row r="52" spans="1:38" ht="15.75" thickBot="1" x14ac:dyDescent="0.3">
      <c r="A52" s="4" t="s">
        <v>127</v>
      </c>
      <c r="B52" s="4" t="s">
        <v>122</v>
      </c>
      <c r="C52" s="4" t="s">
        <v>123</v>
      </c>
      <c r="D52" s="4" t="s">
        <v>128</v>
      </c>
      <c r="E52" s="4">
        <v>80</v>
      </c>
      <c r="F52" s="4">
        <v>7537</v>
      </c>
      <c r="G52" s="4">
        <v>40.456834000000001</v>
      </c>
      <c r="H52" s="4">
        <v>-3.735865</v>
      </c>
      <c r="I52" s="4">
        <v>123.54</v>
      </c>
      <c r="J52" s="4">
        <v>21.5</v>
      </c>
      <c r="K52" s="3">
        <f t="shared" si="0"/>
        <v>2656.11</v>
      </c>
      <c r="L52" s="14">
        <v>76855</v>
      </c>
      <c r="M52" s="16">
        <f t="shared" si="1"/>
        <v>1.0614302772986599</v>
      </c>
      <c r="N52" s="5">
        <v>30310</v>
      </c>
      <c r="O52" s="4">
        <v>5.2080000000000002</v>
      </c>
      <c r="P52" s="3">
        <v>3.0806257521058971</v>
      </c>
      <c r="Q52" s="19">
        <f>Coeficiente!$E$19*(Sheet1!M52-Coeficiente!$B$5)</f>
        <v>-8.8352635275431649E-2</v>
      </c>
      <c r="R52" s="19">
        <f>Coeficiente!$E$21*(Sheet1!O52-Coeficiente!$B$6)</f>
        <v>-6.1967740627397197E-2</v>
      </c>
      <c r="S52" s="19">
        <f>Coeficiente!$E$20*(Sheet1!N52-Coeficiente!$B$7)</f>
        <v>1.6124931371956321</v>
      </c>
      <c r="T52" s="19">
        <f>Coeficiente!$E$22*(Sheet1!P52-Coeficiente!$B$8)</f>
        <v>-6.2425288192347397E-2</v>
      </c>
      <c r="U52" s="19">
        <f t="shared" si="2"/>
        <v>1.3997474731004558</v>
      </c>
      <c r="V52" s="19">
        <f>Q52*I52</f>
        <v>-10.915084561926827</v>
      </c>
      <c r="W52" s="19">
        <f>R52*I52</f>
        <v>-7.6554946771086501</v>
      </c>
      <c r="X52" s="19">
        <f>S52*I52</f>
        <v>199.20740216914839</v>
      </c>
      <c r="Y52" s="19">
        <f>T52*I52</f>
        <v>-7.7120201032825975</v>
      </c>
      <c r="Z52" s="19">
        <f t="shared" si="3"/>
        <v>172.92480282683033</v>
      </c>
      <c r="AA52" s="12">
        <f>Q52/J52</f>
        <v>-4.1094248965317043E-3</v>
      </c>
      <c r="AB52" s="13">
        <f>R52/J52</f>
        <v>-2.8822204942975439E-3</v>
      </c>
      <c r="AC52" s="12">
        <f>S52/J52</f>
        <v>7.4999680799796839E-2</v>
      </c>
      <c r="AD52" s="12">
        <f>T52/J52</f>
        <v>-2.9035017763882512E-3</v>
      </c>
      <c r="AE52" s="19">
        <f>50*J52</f>
        <v>1075</v>
      </c>
      <c r="AF52" s="19">
        <f>70*J52</f>
        <v>1505</v>
      </c>
      <c r="AG52" s="19">
        <f>100*J52</f>
        <v>2150</v>
      </c>
      <c r="AH52" s="12">
        <f>(12*AE52)/L52</f>
        <v>0.16784854596317741</v>
      </c>
      <c r="AI52" s="12">
        <f>(12*AF52)/L52</f>
        <v>0.23498796434844837</v>
      </c>
      <c r="AJ52" s="15">
        <f>(12*AG52)/L52</f>
        <v>0.33569709192635483</v>
      </c>
      <c r="AK52" s="4">
        <v>1</v>
      </c>
      <c r="AL52" s="4" t="s">
        <v>302</v>
      </c>
    </row>
    <row r="53" spans="1:38" ht="15.75" thickBot="1" x14ac:dyDescent="0.3">
      <c r="A53" s="4" t="s">
        <v>129</v>
      </c>
      <c r="B53" s="4" t="s">
        <v>122</v>
      </c>
      <c r="C53" s="4" t="s">
        <v>123</v>
      </c>
      <c r="D53" s="4" t="s">
        <v>130</v>
      </c>
      <c r="E53" s="4">
        <v>71</v>
      </c>
      <c r="F53" s="4">
        <v>14775</v>
      </c>
      <c r="G53" s="4">
        <v>40.465114</v>
      </c>
      <c r="H53" s="4">
        <v>-3.7169530000000002</v>
      </c>
      <c r="I53" s="4">
        <v>71.400000000000006</v>
      </c>
      <c r="J53" s="4">
        <v>19.600000000000001</v>
      </c>
      <c r="K53" s="3">
        <f t="shared" si="0"/>
        <v>1399.4400000000003</v>
      </c>
      <c r="L53" s="14">
        <v>44802</v>
      </c>
      <c r="M53" s="16">
        <f t="shared" si="1"/>
        <v>0.48054145516074448</v>
      </c>
      <c r="N53" s="5">
        <v>18383</v>
      </c>
      <c r="O53" s="4">
        <v>5.4669999999999996</v>
      </c>
      <c r="P53" s="3">
        <v>3.6394086766079421</v>
      </c>
      <c r="Q53" s="19">
        <f>Coeficiente!$E$19*(Sheet1!M53-Coeficiente!$B$5)</f>
        <v>-0.15484809774757774</v>
      </c>
      <c r="R53" s="19">
        <f>Coeficiente!$E$21*(Sheet1!O53-Coeficiente!$B$6)</f>
        <v>-0.26678709772918646</v>
      </c>
      <c r="S53" s="19">
        <f>Coeficiente!$E$20*(Sheet1!N53-Coeficiente!$B$7)</f>
        <v>-0.70843465044419629</v>
      </c>
      <c r="T53" s="19">
        <f>Coeficiente!$E$22*(Sheet1!P53-Coeficiente!$B$8)</f>
        <v>3.1466658455502255E-2</v>
      </c>
      <c r="U53" s="19">
        <f t="shared" si="2"/>
        <v>-1.0986031874654583</v>
      </c>
      <c r="V53" s="19">
        <f>Q53*I53</f>
        <v>-11.056154179177051</v>
      </c>
      <c r="W53" s="19">
        <f>R53*I53</f>
        <v>-19.048598777863916</v>
      </c>
      <c r="X53" s="19">
        <f>S53*I53</f>
        <v>-50.582234041715623</v>
      </c>
      <c r="Y53" s="19">
        <f>T53*I53</f>
        <v>2.2467194137228614</v>
      </c>
      <c r="Z53" s="19">
        <f t="shared" si="3"/>
        <v>-78.440267585033737</v>
      </c>
      <c r="AA53" s="12">
        <f>Q53/J53</f>
        <v>-7.9004131503866183E-3</v>
      </c>
      <c r="AB53" s="13">
        <f>R53/J53</f>
        <v>-1.3611586618836043E-2</v>
      </c>
      <c r="AC53" s="12">
        <f>S53/J53</f>
        <v>-3.6144625022663072E-2</v>
      </c>
      <c r="AD53" s="12">
        <f>T53/J53</f>
        <v>1.6054417579337884E-3</v>
      </c>
      <c r="AE53" s="19">
        <f>50*J53</f>
        <v>980.00000000000011</v>
      </c>
      <c r="AF53" s="19">
        <f>70*J53</f>
        <v>1372</v>
      </c>
      <c r="AG53" s="19">
        <f>100*J53</f>
        <v>1960.0000000000002</v>
      </c>
      <c r="AH53" s="12">
        <f>(12*AE53)/L53</f>
        <v>0.26248828177313516</v>
      </c>
      <c r="AI53" s="12">
        <f>(12*AF53)/L53</f>
        <v>0.36748359448238915</v>
      </c>
      <c r="AJ53" s="15">
        <f>(12*AG53)/L53</f>
        <v>0.52497656354627031</v>
      </c>
      <c r="AK53" s="4">
        <v>1</v>
      </c>
      <c r="AL53" s="4" t="s">
        <v>302</v>
      </c>
    </row>
    <row r="54" spans="1:38" ht="15.75" thickBot="1" x14ac:dyDescent="0.3">
      <c r="A54" s="4" t="s">
        <v>131</v>
      </c>
      <c r="B54" s="4" t="s">
        <v>122</v>
      </c>
      <c r="C54" s="4" t="s">
        <v>123</v>
      </c>
      <c r="D54" s="4" t="s">
        <v>132</v>
      </c>
      <c r="E54" s="4">
        <v>12</v>
      </c>
      <c r="F54" s="4">
        <v>2701</v>
      </c>
      <c r="G54" s="4">
        <v>40.468240000000002</v>
      </c>
      <c r="H54" s="4">
        <v>-3.7826780000000002</v>
      </c>
      <c r="I54" s="4">
        <v>173.81</v>
      </c>
      <c r="J54" s="4">
        <v>19</v>
      </c>
      <c r="K54" s="3">
        <f t="shared" si="0"/>
        <v>3302.39</v>
      </c>
      <c r="L54" s="14">
        <v>104762</v>
      </c>
      <c r="M54" s="16">
        <f t="shared" si="1"/>
        <v>0.44427989633469089</v>
      </c>
      <c r="N54" s="5">
        <v>36918</v>
      </c>
      <c r="O54" s="4">
        <v>8.8019999999999996</v>
      </c>
      <c r="P54" s="3">
        <v>4.039159307181488</v>
      </c>
      <c r="Q54" s="19">
        <f>Coeficiente!$E$19*(Sheet1!M54-Coeficiente!$B$5)</f>
        <v>-0.1589990282392767</v>
      </c>
      <c r="R54" s="19">
        <f>Coeficiente!$E$21*(Sheet1!O54-Coeficiente!$B$6)</f>
        <v>-2.9041328735379457</v>
      </c>
      <c r="S54" s="19">
        <f>Coeficiente!$E$20*(Sheet1!N54-Coeficiente!$B$7)</f>
        <v>2.8983731422869363</v>
      </c>
      <c r="T54" s="19">
        <f>Coeficiente!$E$22*(Sheet1!P54-Coeficiente!$B$8)</f>
        <v>9.8636507841474777E-2</v>
      </c>
      <c r="U54" s="19">
        <f t="shared" si="2"/>
        <v>-6.61222516488114E-2</v>
      </c>
      <c r="V54" s="19">
        <f>Q54*I54</f>
        <v>-27.635621098268683</v>
      </c>
      <c r="W54" s="19">
        <f>R54*I54</f>
        <v>-504.76733474963032</v>
      </c>
      <c r="X54" s="19">
        <f>S54*I54</f>
        <v>503.76623586089244</v>
      </c>
      <c r="Y54" s="19">
        <f>T54*I54</f>
        <v>17.144011427926731</v>
      </c>
      <c r="Z54" s="19">
        <f t="shared" si="3"/>
        <v>-11.492708559079798</v>
      </c>
      <c r="AA54" s="12">
        <f>Q54/J54</f>
        <v>-8.368369907330352E-3</v>
      </c>
      <c r="AB54" s="13">
        <f>R54/J54</f>
        <v>-0.15284909860726029</v>
      </c>
      <c r="AC54" s="12">
        <f>S54/J54</f>
        <v>0.15254595485720718</v>
      </c>
      <c r="AD54" s="12">
        <f>T54/J54</f>
        <v>5.1913951495513042E-3</v>
      </c>
      <c r="AE54" s="19">
        <f>50*J54</f>
        <v>950</v>
      </c>
      <c r="AF54" s="19">
        <f>70*J54</f>
        <v>1330</v>
      </c>
      <c r="AG54" s="19">
        <f>100*J54</f>
        <v>1900</v>
      </c>
      <c r="AH54" s="12">
        <f>(12*AE54)/L54</f>
        <v>0.10881808289265192</v>
      </c>
      <c r="AI54" s="12">
        <f>(12*AF54)/L54</f>
        <v>0.15234531604971269</v>
      </c>
      <c r="AJ54" s="15">
        <f>(12*AG54)/L54</f>
        <v>0.21763616578530384</v>
      </c>
      <c r="AK54" s="4">
        <v>1</v>
      </c>
      <c r="AL54" s="4" t="s">
        <v>302</v>
      </c>
    </row>
    <row r="55" spans="1:38" ht="15.75" thickBot="1" x14ac:dyDescent="0.3">
      <c r="A55" s="4" t="s">
        <v>133</v>
      </c>
      <c r="B55" s="4" t="s">
        <v>122</v>
      </c>
      <c r="C55" s="4" t="s">
        <v>123</v>
      </c>
      <c r="D55" s="4" t="s">
        <v>134</v>
      </c>
      <c r="E55" s="4">
        <v>48</v>
      </c>
      <c r="F55" s="4">
        <v>10460</v>
      </c>
      <c r="G55" s="4">
        <v>40.454157000000002</v>
      </c>
      <c r="H55" s="4">
        <v>-3.7757320000000001</v>
      </c>
      <c r="I55" s="4">
        <v>152.19999999999999</v>
      </c>
      <c r="J55" s="4">
        <v>17.899999999999999</v>
      </c>
      <c r="K55" s="3">
        <f t="shared" si="0"/>
        <v>2724.3799999999997</v>
      </c>
      <c r="L55" s="14">
        <v>83047</v>
      </c>
      <c r="M55" s="16">
        <f t="shared" si="1"/>
        <v>0.45889101338432126</v>
      </c>
      <c r="N55" s="5">
        <v>30206</v>
      </c>
      <c r="O55" s="4">
        <v>7.3869999999999996</v>
      </c>
      <c r="P55" s="3">
        <v>2.6888098062475292</v>
      </c>
      <c r="Q55" s="19">
        <f>Coeficiente!$E$19*(Sheet1!M55-Coeficiente!$B$5)</f>
        <v>-0.15732646552430823</v>
      </c>
      <c r="R55" s="19">
        <f>Coeficiente!$E$21*(Sheet1!O55-Coeficiente!$B$6)</f>
        <v>-1.7851390885995966</v>
      </c>
      <c r="S55" s="19">
        <f>Coeficiente!$E$20*(Sheet1!N55-Coeficiente!$B$7)</f>
        <v>1.5922553162922581</v>
      </c>
      <c r="T55" s="19">
        <f>Coeficiente!$E$22*(Sheet1!P55-Coeficiente!$B$8)</f>
        <v>-0.12826187744942658</v>
      </c>
      <c r="U55" s="19">
        <f t="shared" si="2"/>
        <v>-0.47847211528107331</v>
      </c>
      <c r="V55" s="19">
        <f>Q55*I55</f>
        <v>-23.945088052799711</v>
      </c>
      <c r="W55" s="19">
        <f>R55*I55</f>
        <v>-271.69816928485858</v>
      </c>
      <c r="X55" s="19">
        <f>S55*I55</f>
        <v>242.34125913968168</v>
      </c>
      <c r="Y55" s="19">
        <f>T55*I55</f>
        <v>-19.521457747802724</v>
      </c>
      <c r="Z55" s="19">
        <f t="shared" si="3"/>
        <v>-72.823455945779315</v>
      </c>
      <c r="AA55" s="12">
        <f>Q55/J55</f>
        <v>-8.7891880181177797E-3</v>
      </c>
      <c r="AB55" s="13">
        <f>R55/J55</f>
        <v>-9.9728440703888088E-2</v>
      </c>
      <c r="AC55" s="12">
        <f>S55/J55</f>
        <v>8.8952810966047943E-2</v>
      </c>
      <c r="AD55" s="12">
        <f>T55/J55</f>
        <v>-7.165468013934446E-3</v>
      </c>
      <c r="AE55" s="19">
        <f>50*J55</f>
        <v>894.99999999999989</v>
      </c>
      <c r="AF55" s="19">
        <f>70*J55</f>
        <v>1253</v>
      </c>
      <c r="AG55" s="19">
        <f>100*J55</f>
        <v>1789.9999999999998</v>
      </c>
      <c r="AH55" s="12">
        <f>(12*AE55)/L55</f>
        <v>0.12932435849579152</v>
      </c>
      <c r="AI55" s="12">
        <f>(12*AF55)/L55</f>
        <v>0.18105410189410814</v>
      </c>
      <c r="AJ55" s="15">
        <f>(12*AG55)/L55</f>
        <v>0.25864871699158304</v>
      </c>
      <c r="AK55" s="4">
        <v>1</v>
      </c>
      <c r="AL55" s="4" t="s">
        <v>302</v>
      </c>
    </row>
    <row r="56" spans="1:38" ht="15.75" thickBot="1" x14ac:dyDescent="0.3">
      <c r="A56" s="4" t="s">
        <v>135</v>
      </c>
      <c r="B56" s="4" t="s">
        <v>136</v>
      </c>
      <c r="C56" s="4" t="s">
        <v>137</v>
      </c>
      <c r="D56" s="4" t="s">
        <v>138</v>
      </c>
      <c r="E56" s="4">
        <v>49</v>
      </c>
      <c r="F56" s="4">
        <v>7476</v>
      </c>
      <c r="G56" s="4">
        <v>40.400959999999998</v>
      </c>
      <c r="H56" s="4">
        <v>-3.7380969999999998</v>
      </c>
      <c r="I56" s="4">
        <v>74.459999999999994</v>
      </c>
      <c r="J56" s="4">
        <v>19.600000000000001</v>
      </c>
      <c r="K56" s="3">
        <f t="shared" si="0"/>
        <v>1459.4159999999999</v>
      </c>
      <c r="L56" s="14">
        <v>38240</v>
      </c>
      <c r="M56" s="16">
        <f t="shared" si="1"/>
        <v>0.65543071161048694</v>
      </c>
      <c r="N56" s="5">
        <v>14416</v>
      </c>
      <c r="O56" s="4">
        <v>3.4279999999999999</v>
      </c>
      <c r="P56" s="3">
        <v>2.862963166877718</v>
      </c>
      <c r="Q56" s="19">
        <f>Coeficiente!$E$19*(Sheet1!M56-Coeficiente!$B$5)</f>
        <v>-0.13482818766179833</v>
      </c>
      <c r="R56" s="19">
        <f>Coeficiente!$E$21*(Sheet1!O56-Coeficiente!$B$6)</f>
        <v>1.3456710842420456</v>
      </c>
      <c r="S56" s="19">
        <f>Coeficiente!$E$20*(Sheet1!N56-Coeficiente!$B$7)</f>
        <v>-1.480390761248858</v>
      </c>
      <c r="T56" s="19">
        <f>Coeficiente!$E$22*(Sheet1!P56-Coeficiente!$B$8)</f>
        <v>-9.8998996771021794E-2</v>
      </c>
      <c r="U56" s="19">
        <f t="shared" si="2"/>
        <v>-0.3685468614396325</v>
      </c>
      <c r="V56" s="19">
        <f>Q56*I56</f>
        <v>-10.039306853297502</v>
      </c>
      <c r="W56" s="19">
        <f>R56*I56</f>
        <v>100.19866893266271</v>
      </c>
      <c r="X56" s="19">
        <f>S56*I56</f>
        <v>-110.22989608258996</v>
      </c>
      <c r="Y56" s="19">
        <f>T56*I56</f>
        <v>-7.3714652995702821</v>
      </c>
      <c r="Z56" s="19">
        <f t="shared" si="3"/>
        <v>-27.441999302795033</v>
      </c>
      <c r="AA56" s="12">
        <f>Q56/J56</f>
        <v>-6.8789891664182813E-3</v>
      </c>
      <c r="AB56" s="13">
        <f>R56/J56</f>
        <v>6.8656687971532931E-2</v>
      </c>
      <c r="AC56" s="12">
        <f>S56/J56</f>
        <v>-7.553014088004377E-2</v>
      </c>
      <c r="AD56" s="12">
        <f>T56/J56</f>
        <v>-5.0509692230113158E-3</v>
      </c>
      <c r="AE56" s="19">
        <f>50*J56</f>
        <v>980.00000000000011</v>
      </c>
      <c r="AF56" s="19">
        <f>70*J56</f>
        <v>1372</v>
      </c>
      <c r="AG56" s="19">
        <f>100*J56</f>
        <v>1960.0000000000002</v>
      </c>
      <c r="AH56" s="12">
        <f>(12*AE56)/L56</f>
        <v>0.30753138075313813</v>
      </c>
      <c r="AI56" s="12">
        <f>(12*AF56)/L56</f>
        <v>0.43054393305439331</v>
      </c>
      <c r="AJ56" s="15">
        <f>(12*AG56)/L56</f>
        <v>0.61506276150627626</v>
      </c>
      <c r="AK56" s="4">
        <v>1</v>
      </c>
      <c r="AL56" s="4" t="s">
        <v>302</v>
      </c>
    </row>
    <row r="57" spans="1:38" ht="15.75" thickBot="1" x14ac:dyDescent="0.3">
      <c r="A57" s="4" t="s">
        <v>139</v>
      </c>
      <c r="B57" s="4" t="s">
        <v>136</v>
      </c>
      <c r="C57" s="4" t="s">
        <v>137</v>
      </c>
      <c r="D57" s="4" t="s">
        <v>140</v>
      </c>
      <c r="E57" s="4">
        <v>242</v>
      </c>
      <c r="F57" s="4">
        <v>20288</v>
      </c>
      <c r="G57" s="4">
        <v>40.41019</v>
      </c>
      <c r="H57" s="4">
        <v>-3.7312400000000001</v>
      </c>
      <c r="I57" s="4">
        <v>67.14</v>
      </c>
      <c r="J57" s="4">
        <v>21.8</v>
      </c>
      <c r="K57" s="3">
        <f t="shared" si="0"/>
        <v>1463.652</v>
      </c>
      <c r="L57" s="14">
        <v>37197</v>
      </c>
      <c r="M57" s="16">
        <f t="shared" si="1"/>
        <v>1.1928233438485805</v>
      </c>
      <c r="N57" s="5">
        <v>15310</v>
      </c>
      <c r="O57" s="4">
        <v>2.468</v>
      </c>
      <c r="P57" s="3">
        <v>5.0019706097629637</v>
      </c>
      <c r="Q57" s="19">
        <f>Coeficiente!$E$19*(Sheet1!M57-Coeficiente!$B$5)</f>
        <v>-7.3311817836882148E-2</v>
      </c>
      <c r="R57" s="19">
        <f>Coeficiente!$E$21*(Sheet1!O57-Coeficiente!$B$6)</f>
        <v>2.1048470796772509</v>
      </c>
      <c r="S57" s="19">
        <f>Coeficiente!$E$20*(Sheet1!N57-Coeficiente!$B$7)</f>
        <v>-1.3064233392525466</v>
      </c>
      <c r="T57" s="19">
        <f>Coeficiente!$E$22*(Sheet1!P57-Coeficiente!$B$8)</f>
        <v>0.26041709112341022</v>
      </c>
      <c r="U57" s="19">
        <f t="shared" si="2"/>
        <v>0.98552901371123247</v>
      </c>
      <c r="V57" s="19">
        <f>Q57*I57</f>
        <v>-4.9221554495682671</v>
      </c>
      <c r="W57" s="19">
        <f>R57*I57</f>
        <v>141.31943292953062</v>
      </c>
      <c r="X57" s="19">
        <f>S57*I57</f>
        <v>-87.713262997415981</v>
      </c>
      <c r="Y57" s="19">
        <f>T57*I57</f>
        <v>17.484403498025763</v>
      </c>
      <c r="Z57" s="19">
        <f t="shared" si="3"/>
        <v>66.168417980572144</v>
      </c>
      <c r="AA57" s="12">
        <f>Q57/J57</f>
        <v>-3.3629274237101901E-3</v>
      </c>
      <c r="AB57" s="13">
        <f>R57/J57</f>
        <v>9.655261833381884E-2</v>
      </c>
      <c r="AC57" s="12">
        <f>S57/J57</f>
        <v>-5.9927676112502139E-2</v>
      </c>
      <c r="AD57" s="12">
        <f>T57/J57</f>
        <v>1.1945738124927073E-2</v>
      </c>
      <c r="AE57" s="19">
        <f>50*J57</f>
        <v>1090</v>
      </c>
      <c r="AF57" s="19">
        <f>70*J57</f>
        <v>1526</v>
      </c>
      <c r="AG57" s="19">
        <f>100*J57</f>
        <v>2180</v>
      </c>
      <c r="AH57" s="12">
        <f>(12*AE57)/L57</f>
        <v>0.35164126139204777</v>
      </c>
      <c r="AI57" s="12">
        <f>(12*AF57)/L57</f>
        <v>0.49229776594886682</v>
      </c>
      <c r="AJ57" s="15">
        <f>(12*AG57)/L57</f>
        <v>0.70328252278409553</v>
      </c>
      <c r="AK57" s="4">
        <v>1</v>
      </c>
      <c r="AL57" s="4" t="s">
        <v>302</v>
      </c>
    </row>
    <row r="58" spans="1:38" ht="15.75" thickBot="1" x14ac:dyDescent="0.3">
      <c r="A58" s="4" t="s">
        <v>141</v>
      </c>
      <c r="B58" s="4" t="s">
        <v>136</v>
      </c>
      <c r="C58" s="4" t="s">
        <v>137</v>
      </c>
      <c r="D58" s="4" t="s">
        <v>142</v>
      </c>
      <c r="E58" s="4">
        <v>78</v>
      </c>
      <c r="F58" s="4">
        <v>16480</v>
      </c>
      <c r="G58" s="4">
        <v>40.402537000000002</v>
      </c>
      <c r="H58" s="4">
        <v>-3.7527029999999999</v>
      </c>
      <c r="I58" s="4">
        <v>66.44</v>
      </c>
      <c r="J58" s="4">
        <v>18.5</v>
      </c>
      <c r="K58" s="3">
        <f t="shared" si="0"/>
        <v>1229.1399999999999</v>
      </c>
      <c r="L58" s="14">
        <v>38305</v>
      </c>
      <c r="M58" s="16">
        <f t="shared" si="1"/>
        <v>0.47330097087378642</v>
      </c>
      <c r="N58" s="5">
        <v>14814</v>
      </c>
      <c r="O58" s="4">
        <v>4.4690000000000003</v>
      </c>
      <c r="P58" s="3">
        <v>3.5364403041926731</v>
      </c>
      <c r="Q58" s="19">
        <f>Coeficiente!$E$19*(Sheet1!M58-Coeficiente!$B$5)</f>
        <v>-0.15567692993169796</v>
      </c>
      <c r="R58" s="19">
        <f>Coeficiente!$E$21*(Sheet1!O58-Coeficiente!$B$6)</f>
        <v>0.52243961419199492</v>
      </c>
      <c r="S58" s="19">
        <f>Coeficiente!$E$20*(Sheet1!N58-Coeficiente!$B$7)</f>
        <v>-1.4029421774070996</v>
      </c>
      <c r="T58" s="19">
        <f>Coeficiente!$E$22*(Sheet1!P58-Coeficiente!$B$8)</f>
        <v>1.416494699421194E-2</v>
      </c>
      <c r="U58" s="19">
        <f t="shared" si="2"/>
        <v>-1.0220145461525907</v>
      </c>
      <c r="V58" s="19">
        <f>Q58*I58</f>
        <v>-10.343175224662012</v>
      </c>
      <c r="W58" s="19">
        <f>R58*I58</f>
        <v>34.71088796691614</v>
      </c>
      <c r="X58" s="19">
        <f>S58*I58</f>
        <v>-93.211478266927699</v>
      </c>
      <c r="Y58" s="19">
        <f>T58*I58</f>
        <v>0.94111907829544128</v>
      </c>
      <c r="Z58" s="19">
        <f t="shared" si="3"/>
        <v>-67.902646446378128</v>
      </c>
      <c r="AA58" s="12">
        <f>Q58/J58</f>
        <v>-8.4149691854971866E-3</v>
      </c>
      <c r="AB58" s="13">
        <f>R58/J58</f>
        <v>2.8239979145513239E-2</v>
      </c>
      <c r="AC58" s="12">
        <f>S58/J58</f>
        <v>-7.5834712292275647E-2</v>
      </c>
      <c r="AD58" s="12">
        <f>T58/J58</f>
        <v>7.6567281049794264E-4</v>
      </c>
      <c r="AE58" s="19">
        <f>50*J58</f>
        <v>925</v>
      </c>
      <c r="AF58" s="19">
        <f>70*J58</f>
        <v>1295</v>
      </c>
      <c r="AG58" s="19">
        <f>100*J58</f>
        <v>1850</v>
      </c>
      <c r="AH58" s="12">
        <f>(12*AE58)/L58</f>
        <v>0.28977940216681897</v>
      </c>
      <c r="AI58" s="12">
        <f>(12*AF58)/L58</f>
        <v>0.40569116303354652</v>
      </c>
      <c r="AJ58" s="15">
        <f>(12*AG58)/L58</f>
        <v>0.57955880433363793</v>
      </c>
      <c r="AK58" s="4">
        <v>1</v>
      </c>
      <c r="AL58" s="4" t="s">
        <v>302</v>
      </c>
    </row>
    <row r="59" spans="1:38" ht="15.75" thickBot="1" x14ac:dyDescent="0.3">
      <c r="A59" s="4" t="s">
        <v>143</v>
      </c>
      <c r="B59" s="4" t="s">
        <v>136</v>
      </c>
      <c r="C59" s="4" t="s">
        <v>137</v>
      </c>
      <c r="D59" s="4" t="s">
        <v>144</v>
      </c>
      <c r="E59" s="4">
        <v>61</v>
      </c>
      <c r="F59" s="4">
        <v>30415</v>
      </c>
      <c r="G59" s="4">
        <v>40.393518999999998</v>
      </c>
      <c r="H59" s="4">
        <v>-3.7563770000000001</v>
      </c>
      <c r="I59" s="4">
        <v>71.680000000000007</v>
      </c>
      <c r="J59" s="4">
        <v>16.899999999999999</v>
      </c>
      <c r="K59" s="3">
        <f t="shared" si="0"/>
        <v>1211.3920000000001</v>
      </c>
      <c r="L59" s="14">
        <v>38111</v>
      </c>
      <c r="M59" s="16">
        <f t="shared" si="1"/>
        <v>0.20055893473614994</v>
      </c>
      <c r="N59" s="5">
        <v>15162</v>
      </c>
      <c r="O59" s="4">
        <v>5.1840000000000002</v>
      </c>
      <c r="P59" s="3">
        <v>3.5187111337331531</v>
      </c>
      <c r="Q59" s="19">
        <f>Coeficiente!$E$19*(Sheet1!M59-Coeficiente!$B$5)</f>
        <v>-0.18689823620820437</v>
      </c>
      <c r="R59" s="19">
        <f>Coeficiente!$E$21*(Sheet1!O59-Coeficiente!$B$6)</f>
        <v>-4.2988340741517056E-2</v>
      </c>
      <c r="S59" s="19">
        <f>Coeficiente!$E$20*(Sheet1!N59-Coeficiente!$B$7)</f>
        <v>-1.3352233151535018</v>
      </c>
      <c r="T59" s="19">
        <f>Coeficiente!$E$22*(Sheet1!P59-Coeficiente!$B$8)</f>
        <v>1.1185925528265576E-2</v>
      </c>
      <c r="U59" s="19">
        <f t="shared" si="2"/>
        <v>-1.5539239665749576</v>
      </c>
      <c r="V59" s="19">
        <f>Q59*I59</f>
        <v>-13.39686557140409</v>
      </c>
      <c r="W59" s="19">
        <f>R59*I59</f>
        <v>-3.081404264351943</v>
      </c>
      <c r="X59" s="19">
        <f>S59*I59</f>
        <v>-95.708807230203021</v>
      </c>
      <c r="Y59" s="19">
        <f>T59*I59</f>
        <v>0.8018071418660766</v>
      </c>
      <c r="Z59" s="19">
        <f t="shared" si="3"/>
        <v>-111.38526992409298</v>
      </c>
      <c r="AA59" s="12">
        <f>Q59/J59</f>
        <v>-1.1059067231254696E-2</v>
      </c>
      <c r="AB59" s="13">
        <f>R59/J59</f>
        <v>-2.5436888012731989E-3</v>
      </c>
      <c r="AC59" s="12">
        <f>S59/J59</f>
        <v>-7.9007296754645087E-2</v>
      </c>
      <c r="AD59" s="12">
        <f>T59/J59</f>
        <v>6.6188908451275609E-4</v>
      </c>
      <c r="AE59" s="19">
        <f>50*J59</f>
        <v>844.99999999999989</v>
      </c>
      <c r="AF59" s="19">
        <f>70*J59</f>
        <v>1183</v>
      </c>
      <c r="AG59" s="19">
        <f>100*J59</f>
        <v>1689.9999999999998</v>
      </c>
      <c r="AH59" s="12">
        <f>(12*AE59)/L59</f>
        <v>0.26606491564115342</v>
      </c>
      <c r="AI59" s="12">
        <f>(12*AF59)/L59</f>
        <v>0.37249088189761487</v>
      </c>
      <c r="AJ59" s="15">
        <f>(12*AG59)/L59</f>
        <v>0.53212983128230684</v>
      </c>
      <c r="AK59" s="4">
        <v>1</v>
      </c>
      <c r="AL59" s="4" t="s">
        <v>302</v>
      </c>
    </row>
    <row r="60" spans="1:38" ht="15.75" thickBot="1" x14ac:dyDescent="0.3">
      <c r="A60" s="4" t="s">
        <v>145</v>
      </c>
      <c r="B60" s="4" t="s">
        <v>136</v>
      </c>
      <c r="C60" s="4" t="s">
        <v>137</v>
      </c>
      <c r="D60" s="4" t="s">
        <v>146</v>
      </c>
      <c r="E60" s="4">
        <v>49</v>
      </c>
      <c r="F60" s="4">
        <v>23204</v>
      </c>
      <c r="G60" s="4">
        <v>40.383338999999999</v>
      </c>
      <c r="H60" s="4">
        <v>-3.7722889999999998</v>
      </c>
      <c r="I60" s="4">
        <v>67.430000000000007</v>
      </c>
      <c r="J60" s="4">
        <v>16.7</v>
      </c>
      <c r="K60" s="3">
        <f t="shared" si="0"/>
        <v>1126.0810000000001</v>
      </c>
      <c r="L60" s="14">
        <v>37212</v>
      </c>
      <c r="M60" s="16">
        <f t="shared" si="1"/>
        <v>0.21117048784692294</v>
      </c>
      <c r="N60" s="5">
        <v>15144</v>
      </c>
      <c r="O60" s="4">
        <v>6.9260000000000002</v>
      </c>
      <c r="P60" s="3">
        <v>2.0712486367014451</v>
      </c>
      <c r="Q60" s="19">
        <f>Coeficiente!$E$19*(Sheet1!M60-Coeficiente!$B$5)</f>
        <v>-0.18568351128192398</v>
      </c>
      <c r="R60" s="19">
        <f>Coeficiente!$E$21*(Sheet1!O60-Coeficiente!$B$6)</f>
        <v>-1.4205764491249828</v>
      </c>
      <c r="S60" s="19">
        <f>Coeficiente!$E$20*(Sheet1!N60-Coeficiente!$B$7)</f>
        <v>-1.3387260149252398</v>
      </c>
      <c r="T60" s="19">
        <f>Coeficiente!$E$22*(Sheet1!P60-Coeficiente!$B$8)</f>
        <v>-0.23203029598955388</v>
      </c>
      <c r="U60" s="19">
        <f t="shared" si="2"/>
        <v>-3.1770162713217003</v>
      </c>
      <c r="V60" s="19">
        <f>Q60*I60</f>
        <v>-12.520639165740135</v>
      </c>
      <c r="W60" s="19">
        <f>R60*I60</f>
        <v>-95.789469964497599</v>
      </c>
      <c r="X60" s="19">
        <f>S60*I60</f>
        <v>-90.27029518640893</v>
      </c>
      <c r="Y60" s="19">
        <f>T60*I60</f>
        <v>-15.645802858575619</v>
      </c>
      <c r="Z60" s="19">
        <f t="shared" si="3"/>
        <v>-214.22620717522227</v>
      </c>
      <c r="AA60" s="12">
        <f>Q60/J60</f>
        <v>-1.1118773130654132E-2</v>
      </c>
      <c r="AB60" s="13">
        <f>R60/J60</f>
        <v>-8.5064458031436099E-2</v>
      </c>
      <c r="AC60" s="12">
        <f>S60/J60</f>
        <v>-8.0163234426661067E-2</v>
      </c>
      <c r="AD60" s="12">
        <f>T60/J60</f>
        <v>-1.3894029699973286E-2</v>
      </c>
      <c r="AE60" s="19">
        <f>50*J60</f>
        <v>835</v>
      </c>
      <c r="AF60" s="19">
        <f>70*J60</f>
        <v>1169</v>
      </c>
      <c r="AG60" s="19">
        <f>100*J60</f>
        <v>1670</v>
      </c>
      <c r="AH60" s="12">
        <f>(12*AE60)/L60</f>
        <v>0.26926797807158981</v>
      </c>
      <c r="AI60" s="12">
        <f>(12*AF60)/L60</f>
        <v>0.37697516930022573</v>
      </c>
      <c r="AJ60" s="15">
        <f>(12*AG60)/L60</f>
        <v>0.53853595614317962</v>
      </c>
      <c r="AK60" s="4">
        <v>1</v>
      </c>
      <c r="AL60" s="4" t="s">
        <v>302</v>
      </c>
    </row>
    <row r="61" spans="1:38" ht="15.75" thickBot="1" x14ac:dyDescent="0.3">
      <c r="A61" s="4" t="s">
        <v>147</v>
      </c>
      <c r="B61" s="4" t="s">
        <v>148</v>
      </c>
      <c r="C61" s="4" t="s">
        <v>149</v>
      </c>
      <c r="D61" s="4" t="s">
        <v>150</v>
      </c>
      <c r="E61" s="4">
        <v>130</v>
      </c>
      <c r="F61" s="4">
        <v>11127</v>
      </c>
      <c r="G61" s="4">
        <v>40.392473000000003</v>
      </c>
      <c r="H61" s="4">
        <v>-3.711125</v>
      </c>
      <c r="I61" s="4">
        <v>73.12</v>
      </c>
      <c r="J61" s="4">
        <v>19</v>
      </c>
      <c r="K61" s="3">
        <f t="shared" si="0"/>
        <v>1389.2800000000002</v>
      </c>
      <c r="L61" s="14">
        <v>36535</v>
      </c>
      <c r="M61" s="16">
        <f t="shared" si="1"/>
        <v>1.1683292891165633</v>
      </c>
      <c r="N61" s="5">
        <v>15403</v>
      </c>
      <c r="O61" s="4">
        <v>2.7919999999999998</v>
      </c>
      <c r="P61" s="3">
        <v>3.2260159785220952</v>
      </c>
      <c r="Q61" s="19">
        <f>Coeficiente!$E$19*(Sheet1!M61-Coeficiente!$B$5)</f>
        <v>-7.6115699466466749E-2</v>
      </c>
      <c r="R61" s="19">
        <f>Coeficiente!$E$21*(Sheet1!O61-Coeficiente!$B$6)</f>
        <v>1.8486251812178691</v>
      </c>
      <c r="S61" s="19">
        <f>Coeficiente!$E$20*(Sheet1!N61-Coeficiente!$B$7)</f>
        <v>-1.2883260570985677</v>
      </c>
      <c r="T61" s="19">
        <f>Coeficiente!$E$22*(Sheet1!P61-Coeficiente!$B$8)</f>
        <v>-3.7995459034712686E-2</v>
      </c>
      <c r="U61" s="19">
        <f t="shared" si="2"/>
        <v>0.44618796561812202</v>
      </c>
      <c r="V61" s="19">
        <f>Q61*I61</f>
        <v>-5.5655799449880492</v>
      </c>
      <c r="W61" s="19">
        <f>R61*I61</f>
        <v>135.17147325065059</v>
      </c>
      <c r="X61" s="19">
        <f>S61*I61</f>
        <v>-94.202401295047281</v>
      </c>
      <c r="Y61" s="19">
        <f>T61*I61</f>
        <v>-2.7782279646181918</v>
      </c>
      <c r="Z61" s="19">
        <f t="shared" si="3"/>
        <v>32.625264045997064</v>
      </c>
      <c r="AA61" s="12">
        <f>Q61/J61</f>
        <v>-4.0060894456035133E-3</v>
      </c>
      <c r="AB61" s="13">
        <f>R61/J61</f>
        <v>9.7296062169361527E-2</v>
      </c>
      <c r="AC61" s="12">
        <f>S61/J61</f>
        <v>-6.7806634584135148E-2</v>
      </c>
      <c r="AD61" s="12">
        <f>T61/J61</f>
        <v>-1.9997610018269835E-3</v>
      </c>
      <c r="AE61" s="19">
        <f>50*J61</f>
        <v>950</v>
      </c>
      <c r="AF61" s="19">
        <f>70*J61</f>
        <v>1330</v>
      </c>
      <c r="AG61" s="19">
        <f>100*J61</f>
        <v>1900</v>
      </c>
      <c r="AH61" s="12">
        <f>(12*AE61)/L61</f>
        <v>0.31202956069522375</v>
      </c>
      <c r="AI61" s="12">
        <f>(12*AF61)/L61</f>
        <v>0.43684138497331326</v>
      </c>
      <c r="AJ61" s="15">
        <f>(12*AG61)/L61</f>
        <v>0.6240591213904475</v>
      </c>
      <c r="AK61" s="4">
        <v>1</v>
      </c>
      <c r="AL61" s="4" t="s">
        <v>302</v>
      </c>
    </row>
    <row r="62" spans="1:38" ht="15.75" thickBot="1" x14ac:dyDescent="0.3">
      <c r="A62" s="4" t="s">
        <v>151</v>
      </c>
      <c r="B62" s="4" t="s">
        <v>148</v>
      </c>
      <c r="C62" s="4" t="s">
        <v>149</v>
      </c>
      <c r="D62" s="4" t="s">
        <v>152</v>
      </c>
      <c r="E62" s="4">
        <v>146</v>
      </c>
      <c r="F62" s="4">
        <v>15338</v>
      </c>
      <c r="G62" s="4">
        <v>40.391537999999997</v>
      </c>
      <c r="H62" s="4">
        <v>-3.7212879999999999</v>
      </c>
      <c r="I62" s="4">
        <v>69.59</v>
      </c>
      <c r="J62" s="4">
        <v>19.3</v>
      </c>
      <c r="K62" s="3">
        <f t="shared" si="0"/>
        <v>1343.0870000000002</v>
      </c>
      <c r="L62" s="14">
        <v>36456</v>
      </c>
      <c r="M62" s="16">
        <f t="shared" si="1"/>
        <v>0.95188420915373584</v>
      </c>
      <c r="N62" s="5">
        <v>14134</v>
      </c>
      <c r="O62" s="4">
        <v>3.198</v>
      </c>
      <c r="P62" s="3">
        <v>4.6976770995446424</v>
      </c>
      <c r="Q62" s="19">
        <f>Coeficiente!$E$19*(Sheet1!M62-Coeficiente!$B$5)</f>
        <v>-0.10089258472133872</v>
      </c>
      <c r="R62" s="19">
        <f>Coeficiente!$E$21*(Sheet1!O62-Coeficiente!$B$6)</f>
        <v>1.5275569998150635</v>
      </c>
      <c r="S62" s="19">
        <f>Coeficiente!$E$20*(Sheet1!N62-Coeficiente!$B$7)</f>
        <v>-1.5352663910060838</v>
      </c>
      <c r="T62" s="19">
        <f>Coeficiente!$E$22*(Sheet1!P62-Coeficiente!$B$8)</f>
        <v>0.20928684219505209</v>
      </c>
      <c r="U62" s="19">
        <f t="shared" si="2"/>
        <v>0.10068486628269321</v>
      </c>
      <c r="V62" s="19">
        <f>Q62*I62</f>
        <v>-7.0211149707579619</v>
      </c>
      <c r="W62" s="19">
        <f>R62*I62</f>
        <v>106.30269161713028</v>
      </c>
      <c r="X62" s="19">
        <f>S62*I62</f>
        <v>-106.83918815011337</v>
      </c>
      <c r="Y62" s="19">
        <f>T62*I62</f>
        <v>14.564271348353675</v>
      </c>
      <c r="Z62" s="19">
        <f t="shared" si="3"/>
        <v>7.0066598446126171</v>
      </c>
      <c r="AA62" s="12">
        <f>Q62/J62</f>
        <v>-5.2275950632817989E-3</v>
      </c>
      <c r="AB62" s="13">
        <f>R62/J62</f>
        <v>7.91480310785007E-2</v>
      </c>
      <c r="AC62" s="12">
        <f>S62/J62</f>
        <v>-7.9547481399278946E-2</v>
      </c>
      <c r="AD62" s="12">
        <f>T62/J62</f>
        <v>1.0843877833940523E-2</v>
      </c>
      <c r="AE62" s="19">
        <f>50*J62</f>
        <v>965</v>
      </c>
      <c r="AF62" s="19">
        <f>70*J62</f>
        <v>1351</v>
      </c>
      <c r="AG62" s="19">
        <f>100*J62</f>
        <v>1930</v>
      </c>
      <c r="AH62" s="12">
        <f>(12*AE62)/L62</f>
        <v>0.31764318630678079</v>
      </c>
      <c r="AI62" s="12">
        <f>(12*AF62)/L62</f>
        <v>0.4447004608294931</v>
      </c>
      <c r="AJ62" s="15">
        <f>(12*AG62)/L62</f>
        <v>0.63528637261356158</v>
      </c>
      <c r="AK62" s="4">
        <v>1</v>
      </c>
      <c r="AL62" s="4" t="s">
        <v>302</v>
      </c>
    </row>
    <row r="63" spans="1:38" ht="15.75" thickBot="1" x14ac:dyDescent="0.3">
      <c r="A63" s="4" t="s">
        <v>153</v>
      </c>
      <c r="B63" s="4" t="s">
        <v>148</v>
      </c>
      <c r="C63" s="4" t="s">
        <v>149</v>
      </c>
      <c r="D63" s="4" t="s">
        <v>154</v>
      </c>
      <c r="E63" s="4">
        <v>191</v>
      </c>
      <c r="F63" s="4">
        <v>17497</v>
      </c>
      <c r="G63" s="4">
        <v>40.397046000000003</v>
      </c>
      <c r="H63" s="4">
        <v>-3.726896</v>
      </c>
      <c r="I63" s="4">
        <v>64.09</v>
      </c>
      <c r="J63" s="4">
        <v>19.5</v>
      </c>
      <c r="K63" s="3">
        <f t="shared" si="0"/>
        <v>1249.7550000000001</v>
      </c>
      <c r="L63" s="14">
        <v>34893</v>
      </c>
      <c r="M63" s="16">
        <f t="shared" si="1"/>
        <v>1.0916157055495228</v>
      </c>
      <c r="N63" s="5">
        <v>13288</v>
      </c>
      <c r="O63" s="4">
        <v>2.968</v>
      </c>
      <c r="P63" s="3">
        <v>4.3996511289853668</v>
      </c>
      <c r="Q63" s="19">
        <f>Coeficiente!$E$19*(Sheet1!M63-Coeficiente!$B$5)</f>
        <v>-8.4897251155500411E-2</v>
      </c>
      <c r="R63" s="19">
        <f>Coeficiente!$E$21*(Sheet1!O63-Coeficiente!$B$6)</f>
        <v>1.7094429153880815</v>
      </c>
      <c r="S63" s="19">
        <f>Coeficiente!$E$20*(Sheet1!N63-Coeficiente!$B$7)</f>
        <v>-1.6998932802777611</v>
      </c>
      <c r="T63" s="19">
        <f>Coeficiente!$E$22*(Sheet1!P63-Coeficiente!$B$8)</f>
        <v>0.1592097240505396</v>
      </c>
      <c r="U63" s="19">
        <f t="shared" si="2"/>
        <v>8.3862108005359565E-2</v>
      </c>
      <c r="V63" s="19">
        <f>Q63*I63</f>
        <v>-5.4410648265560217</v>
      </c>
      <c r="W63" s="19">
        <f>R63*I63</f>
        <v>109.55819644722214</v>
      </c>
      <c r="X63" s="19">
        <f>S63*I63</f>
        <v>-108.94616033300171</v>
      </c>
      <c r="Y63" s="19">
        <f>T63*I63</f>
        <v>10.203751214399084</v>
      </c>
      <c r="Z63" s="19">
        <f t="shared" si="3"/>
        <v>5.3747225020634986</v>
      </c>
      <c r="AA63" s="12">
        <f>Q63/J63</f>
        <v>-4.3537051874615595E-3</v>
      </c>
      <c r="AB63" s="13">
        <f>R63/J63</f>
        <v>8.766373925067085E-2</v>
      </c>
      <c r="AC63" s="12">
        <f>S63/J63</f>
        <v>-8.717401437321852E-2</v>
      </c>
      <c r="AD63" s="12">
        <f>T63/J63</f>
        <v>8.1646012333610046E-3</v>
      </c>
      <c r="AE63" s="19">
        <f>50*J63</f>
        <v>975</v>
      </c>
      <c r="AF63" s="19">
        <f>70*J63</f>
        <v>1365</v>
      </c>
      <c r="AG63" s="19">
        <f>100*J63</f>
        <v>1950</v>
      </c>
      <c r="AH63" s="12">
        <f>(12*AE63)/L63</f>
        <v>0.33531080732525148</v>
      </c>
      <c r="AI63" s="12">
        <f>(12*AF63)/L63</f>
        <v>0.46943513025535205</v>
      </c>
      <c r="AJ63" s="15">
        <f>(12*AG63)/L63</f>
        <v>0.67062161465050296</v>
      </c>
      <c r="AK63" s="4">
        <v>1</v>
      </c>
      <c r="AL63" s="4" t="s">
        <v>302</v>
      </c>
    </row>
    <row r="64" spans="1:38" ht="15.75" thickBot="1" x14ac:dyDescent="0.3">
      <c r="A64" s="4" t="s">
        <v>155</v>
      </c>
      <c r="B64" s="4" t="s">
        <v>148</v>
      </c>
      <c r="C64" s="4" t="s">
        <v>149</v>
      </c>
      <c r="D64" s="4" t="s">
        <v>156</v>
      </c>
      <c r="E64" s="4">
        <v>110</v>
      </c>
      <c r="F64" s="4">
        <v>19648</v>
      </c>
      <c r="G64" s="4">
        <v>40.384407000000003</v>
      </c>
      <c r="H64" s="4">
        <v>-3.745498</v>
      </c>
      <c r="I64" s="4">
        <v>64.489999999999995</v>
      </c>
      <c r="J64" s="4">
        <v>18.8</v>
      </c>
      <c r="K64" s="3">
        <f t="shared" si="0"/>
        <v>1212.412</v>
      </c>
      <c r="L64" s="14">
        <v>34851</v>
      </c>
      <c r="M64" s="16">
        <f t="shared" si="1"/>
        <v>0.55985342019543971</v>
      </c>
      <c r="N64" s="5">
        <v>12736</v>
      </c>
      <c r="O64" s="4">
        <v>5.0730000000000004</v>
      </c>
      <c r="P64" s="3">
        <v>4.9570903146710261</v>
      </c>
      <c r="Q64" s="19">
        <f>Coeficiente!$E$19*(Sheet1!M64-Coeficiente!$B$5)</f>
        <v>-0.14576910432651893</v>
      </c>
      <c r="R64" s="19">
        <f>Coeficiente!$E$21*(Sheet1!O64-Coeficiente!$B$6)</f>
        <v>4.4791383730678348E-2</v>
      </c>
      <c r="S64" s="19">
        <f>Coeficiente!$E$20*(Sheet1!N64-Coeficiente!$B$7)</f>
        <v>-1.807309406611054</v>
      </c>
      <c r="T64" s="19">
        <f>Coeficiente!$E$22*(Sheet1!P64-Coeficiente!$B$8)</f>
        <v>0.25287588310230413</v>
      </c>
      <c r="U64" s="19">
        <f t="shared" si="2"/>
        <v>-1.6554112441045905</v>
      </c>
      <c r="V64" s="19">
        <f>Q64*I64</f>
        <v>-9.4006495380172055</v>
      </c>
      <c r="W64" s="19">
        <f>R64*I64</f>
        <v>2.8885963367914465</v>
      </c>
      <c r="X64" s="19">
        <f>S64*I64</f>
        <v>-116.55338363234686</v>
      </c>
      <c r="Y64" s="19">
        <f>T64*I64</f>
        <v>16.307965701267591</v>
      </c>
      <c r="Z64" s="19">
        <f t="shared" si="3"/>
        <v>-106.75747113230503</v>
      </c>
      <c r="AA64" s="12">
        <f>Q64/J64</f>
        <v>-7.7536757620488795E-3</v>
      </c>
      <c r="AB64" s="13">
        <f>R64/J64</f>
        <v>2.3825204112062951E-3</v>
      </c>
      <c r="AC64" s="12">
        <f>S64/J64</f>
        <v>-9.6133479075056066E-2</v>
      </c>
      <c r="AD64" s="12">
        <f>T64/J64</f>
        <v>1.3450844845867241E-2</v>
      </c>
      <c r="AE64" s="19">
        <f>50*J64</f>
        <v>940</v>
      </c>
      <c r="AF64" s="19">
        <f>70*J64</f>
        <v>1316</v>
      </c>
      <c r="AG64" s="19">
        <f>100*J64</f>
        <v>1880</v>
      </c>
      <c r="AH64" s="12">
        <f>(12*AE64)/L64</f>
        <v>0.32366359645347337</v>
      </c>
      <c r="AI64" s="12">
        <f>(12*AF64)/L64</f>
        <v>0.45312903503486268</v>
      </c>
      <c r="AJ64" s="15">
        <f>(12*AG64)/L64</f>
        <v>0.64732719290694674</v>
      </c>
      <c r="AK64" s="4">
        <v>1</v>
      </c>
      <c r="AL64" s="4" t="s">
        <v>302</v>
      </c>
    </row>
    <row r="65" spans="1:38" ht="15.75" thickBot="1" x14ac:dyDescent="0.3">
      <c r="A65" s="4" t="s">
        <v>157</v>
      </c>
      <c r="B65" s="4" t="s">
        <v>148</v>
      </c>
      <c r="C65" s="4" t="s">
        <v>149</v>
      </c>
      <c r="D65" s="4" t="s">
        <v>158</v>
      </c>
      <c r="E65" s="4">
        <v>79</v>
      </c>
      <c r="F65" s="4">
        <v>14323</v>
      </c>
      <c r="G65" s="4">
        <v>40.380471</v>
      </c>
      <c r="H65" s="4">
        <v>-3.738623</v>
      </c>
      <c r="I65" s="4">
        <v>65.400000000000006</v>
      </c>
      <c r="J65" s="4">
        <v>19.899999999999999</v>
      </c>
      <c r="K65" s="3">
        <f t="shared" si="0"/>
        <v>1301.46</v>
      </c>
      <c r="L65" s="14">
        <v>33635</v>
      </c>
      <c r="M65" s="16">
        <f t="shared" si="1"/>
        <v>0.55156042728478671</v>
      </c>
      <c r="N65" s="5">
        <v>11651</v>
      </c>
      <c r="O65" s="4">
        <v>5.0259999999999998</v>
      </c>
      <c r="P65" s="3">
        <v>5.2474893819711834</v>
      </c>
      <c r="Q65" s="19">
        <f>Coeficiente!$E$19*(Sheet1!M65-Coeficiente!$B$5)</f>
        <v>-0.14671841920030587</v>
      </c>
      <c r="R65" s="19">
        <f>Coeficiente!$E$21*(Sheet1!O65-Coeficiente!$B$6)</f>
        <v>8.1959375173860732E-2</v>
      </c>
      <c r="S65" s="19">
        <f>Coeficiente!$E$20*(Sheet1!N65-Coeficiente!$B$7)</f>
        <v>-2.018444365074139</v>
      </c>
      <c r="T65" s="19">
        <f>Coeficiente!$E$22*(Sheet1!P65-Coeficiente!$B$8)</f>
        <v>0.30167145744421814</v>
      </c>
      <c r="U65" s="19">
        <f t="shared" si="2"/>
        <v>-1.7815319516563661</v>
      </c>
      <c r="V65" s="19">
        <f>Q65*I65</f>
        <v>-9.595384615700004</v>
      </c>
      <c r="W65" s="19">
        <f>R65*I65</f>
        <v>5.3601431363704926</v>
      </c>
      <c r="X65" s="19">
        <f>S65*I65</f>
        <v>-132.0062614758487</v>
      </c>
      <c r="Y65" s="19">
        <f>T65*I65</f>
        <v>19.729313316851869</v>
      </c>
      <c r="Z65" s="19">
        <f t="shared" si="3"/>
        <v>-116.51218963832635</v>
      </c>
      <c r="AA65" s="12">
        <f>Q65/J65</f>
        <v>-7.3727848844374819E-3</v>
      </c>
      <c r="AB65" s="13">
        <f>R65/J65</f>
        <v>4.1185615665256655E-3</v>
      </c>
      <c r="AC65" s="12">
        <f>S65/J65</f>
        <v>-0.10142936507910247</v>
      </c>
      <c r="AD65" s="12">
        <f>T65/J65</f>
        <v>1.5159369720814983E-2</v>
      </c>
      <c r="AE65" s="19">
        <f>50*J65</f>
        <v>994.99999999999989</v>
      </c>
      <c r="AF65" s="19">
        <f>70*J65</f>
        <v>1393</v>
      </c>
      <c r="AG65" s="19">
        <f>100*J65</f>
        <v>1989.9999999999998</v>
      </c>
      <c r="AH65" s="12">
        <f>(12*AE65)/L65</f>
        <v>0.35498736435260886</v>
      </c>
      <c r="AI65" s="12">
        <f>(12*AF65)/L65</f>
        <v>0.49698231009365246</v>
      </c>
      <c r="AJ65" s="15">
        <f>(12*AG65)/L65</f>
        <v>0.70997472870521772</v>
      </c>
      <c r="AK65" s="4">
        <v>1</v>
      </c>
      <c r="AL65" s="4" t="s">
        <v>302</v>
      </c>
    </row>
    <row r="66" spans="1:38" ht="15.75" thickBot="1" x14ac:dyDescent="0.3">
      <c r="A66" s="4" t="s">
        <v>159</v>
      </c>
      <c r="B66" s="4" t="s">
        <v>148</v>
      </c>
      <c r="C66" s="4" t="s">
        <v>149</v>
      </c>
      <c r="D66" s="4" t="s">
        <v>160</v>
      </c>
      <c r="E66" s="4">
        <v>49</v>
      </c>
      <c r="F66" s="4">
        <v>20412</v>
      </c>
      <c r="G66" s="4">
        <v>40.36833</v>
      </c>
      <c r="H66" s="4">
        <v>-3.7414830000000001</v>
      </c>
      <c r="I66" s="4">
        <v>67.760000000000005</v>
      </c>
      <c r="J66" s="4">
        <v>18.7</v>
      </c>
      <c r="K66" s="3">
        <f t="shared" si="0"/>
        <v>1267.1120000000001</v>
      </c>
      <c r="L66" s="14">
        <v>40809</v>
      </c>
      <c r="M66" s="16">
        <f t="shared" si="1"/>
        <v>0.24005486968449932</v>
      </c>
      <c r="N66" s="5">
        <v>14879</v>
      </c>
      <c r="O66" s="4">
        <v>6.2850000000000001</v>
      </c>
      <c r="P66" s="3">
        <v>3.7707977762473681</v>
      </c>
      <c r="Q66" s="19">
        <f>Coeficiente!$E$19*(Sheet1!M66-Coeficiente!$B$5)</f>
        <v>-0.18237706045120772</v>
      </c>
      <c r="R66" s="19">
        <f>Coeficiente!$E$21*(Sheet1!O66-Coeficiente!$B$6)</f>
        <v>-0.91366831050626784</v>
      </c>
      <c r="S66" s="19">
        <f>Coeficiente!$E$20*(Sheet1!N66-Coeficiente!$B$7)</f>
        <v>-1.3902935393424909</v>
      </c>
      <c r="T66" s="19">
        <f>Coeficiente!$E$22*(Sheet1!P66-Coeficiente!$B$8)</f>
        <v>5.3543887004401554E-2</v>
      </c>
      <c r="U66" s="19">
        <f t="shared" si="2"/>
        <v>-2.4327950232955651</v>
      </c>
      <c r="V66" s="19">
        <f>Q66*I66</f>
        <v>-12.357869616173836</v>
      </c>
      <c r="W66" s="19">
        <f>R66*I66</f>
        <v>-61.910164719904714</v>
      </c>
      <c r="X66" s="19">
        <f>S66*I66</f>
        <v>-94.206290225847184</v>
      </c>
      <c r="Y66" s="19">
        <f>T66*I66</f>
        <v>3.6281337834182494</v>
      </c>
      <c r="Z66" s="19">
        <f t="shared" si="3"/>
        <v>-164.84619077850749</v>
      </c>
      <c r="AA66" s="12">
        <f>Q66/J66</f>
        <v>-9.7527839813480073E-3</v>
      </c>
      <c r="AB66" s="13">
        <f>R66/J66</f>
        <v>-4.8859267941511651E-2</v>
      </c>
      <c r="AC66" s="12">
        <f>S66/J66</f>
        <v>-7.4347248093181328E-2</v>
      </c>
      <c r="AD66" s="12">
        <f>T66/J66</f>
        <v>2.8633094654760189E-3</v>
      </c>
      <c r="AE66" s="19">
        <f>50*J66</f>
        <v>935</v>
      </c>
      <c r="AF66" s="19">
        <f>70*J66</f>
        <v>1309</v>
      </c>
      <c r="AG66" s="19">
        <f>100*J66</f>
        <v>1870</v>
      </c>
      <c r="AH66" s="12">
        <f>(12*AE66)/L66</f>
        <v>0.27493935161361466</v>
      </c>
      <c r="AI66" s="12">
        <f>(12*AF66)/L66</f>
        <v>0.38491509225906051</v>
      </c>
      <c r="AJ66" s="15">
        <f>(12*AG66)/L66</f>
        <v>0.54987870322722932</v>
      </c>
      <c r="AK66" s="4">
        <v>1</v>
      </c>
      <c r="AL66" s="4" t="s">
        <v>302</v>
      </c>
    </row>
    <row r="67" spans="1:38" ht="15.75" thickBot="1" x14ac:dyDescent="0.3">
      <c r="A67" s="4" t="s">
        <v>161</v>
      </c>
      <c r="B67" s="4" t="s">
        <v>162</v>
      </c>
      <c r="C67" s="4" t="s">
        <v>163</v>
      </c>
      <c r="D67" s="4" t="s">
        <v>164</v>
      </c>
      <c r="E67" s="4">
        <v>105</v>
      </c>
      <c r="F67" s="4">
        <v>8997</v>
      </c>
      <c r="G67" s="4">
        <v>40.383730999999997</v>
      </c>
      <c r="H67" s="4">
        <v>-3.698928</v>
      </c>
      <c r="I67" s="4">
        <v>75.38</v>
      </c>
      <c r="J67" s="4">
        <v>21.5</v>
      </c>
      <c r="K67" s="3">
        <f t="shared" ref="K67:K101" si="4">I67*J67</f>
        <v>1620.6699999999998</v>
      </c>
      <c r="L67" s="14">
        <v>36701</v>
      </c>
      <c r="M67" s="16">
        <f t="shared" ref="M67:M101" si="5">E67/F67*100</f>
        <v>1.1670556852284095</v>
      </c>
      <c r="N67" s="5">
        <v>12826</v>
      </c>
      <c r="O67" s="4">
        <v>3.7080000000000002</v>
      </c>
      <c r="P67" s="3">
        <v>4.6748358674964177</v>
      </c>
      <c r="Q67" s="19">
        <f>Coeficiente!$E$19*(Sheet1!M67-Coeficiente!$B$5)</f>
        <v>-7.6261491356965555E-2</v>
      </c>
      <c r="R67" s="19">
        <f>Coeficiente!$E$21*(Sheet1!O67-Coeficiente!$B$6)</f>
        <v>1.1242447522401107</v>
      </c>
      <c r="S67" s="19">
        <f>Coeficiente!$E$20*(Sheet1!N67-Coeficiente!$B$7)</f>
        <v>-1.7897959077523649</v>
      </c>
      <c r="T67" s="19">
        <f>Coeficiente!$E$22*(Sheet1!P67-Coeficiente!$B$8)</f>
        <v>0.20544884420548537</v>
      </c>
      <c r="U67" s="19">
        <f t="shared" ref="U67:U101" si="6">Q67+R67+S67+T67</f>
        <v>-0.53636380266373429</v>
      </c>
      <c r="V67" s="19">
        <f>Q67*I67</f>
        <v>-5.7485912184880634</v>
      </c>
      <c r="W67" s="19">
        <f>R67*I67</f>
        <v>84.745569423859536</v>
      </c>
      <c r="X67" s="19">
        <f>S67*I67</f>
        <v>-134.91481552637325</v>
      </c>
      <c r="Y67" s="19">
        <f>T67*I67</f>
        <v>15.486733876209486</v>
      </c>
      <c r="Z67" s="19">
        <f t="shared" ref="Z67:Z101" si="7">V67+W67+X67+Y67</f>
        <v>-40.431103444792285</v>
      </c>
      <c r="AA67" s="12">
        <f>Q67/J67</f>
        <v>-3.5470461096263049E-3</v>
      </c>
      <c r="AB67" s="13">
        <f>R67/J67</f>
        <v>5.2290453592563284E-2</v>
      </c>
      <c r="AC67" s="12">
        <f>S67/J67</f>
        <v>-8.3246321290807668E-2</v>
      </c>
      <c r="AD67" s="12">
        <f>T67/J67</f>
        <v>9.5557601956039705E-3</v>
      </c>
      <c r="AE67" s="19">
        <f>50*J67</f>
        <v>1075</v>
      </c>
      <c r="AF67" s="19">
        <f>70*J67</f>
        <v>1505</v>
      </c>
      <c r="AG67" s="19">
        <f>100*J67</f>
        <v>2150</v>
      </c>
      <c r="AH67" s="12">
        <f>(12*AE67)/L67</f>
        <v>0.35148906024359011</v>
      </c>
      <c r="AI67" s="12">
        <f>(12*AF67)/L67</f>
        <v>0.49208468434102615</v>
      </c>
      <c r="AJ67" s="15">
        <f>(12*AG67)/L67</f>
        <v>0.70297812048718022</v>
      </c>
      <c r="AK67" s="4">
        <v>1</v>
      </c>
      <c r="AL67" s="4" t="s">
        <v>302</v>
      </c>
    </row>
    <row r="68" spans="1:38" ht="15.75" thickBot="1" x14ac:dyDescent="0.3">
      <c r="A68" s="4" t="s">
        <v>165</v>
      </c>
      <c r="B68" s="4" t="s">
        <v>162</v>
      </c>
      <c r="C68" s="4" t="s">
        <v>163</v>
      </c>
      <c r="D68" s="4" t="s">
        <v>166</v>
      </c>
      <c r="E68" s="4">
        <v>132</v>
      </c>
      <c r="F68" s="4">
        <v>11203</v>
      </c>
      <c r="G68" s="4">
        <v>40.390329999999999</v>
      </c>
      <c r="H68" s="4">
        <v>-3.7052309999999999</v>
      </c>
      <c r="I68" s="4">
        <v>65.03</v>
      </c>
      <c r="J68" s="4">
        <v>19.8</v>
      </c>
      <c r="K68" s="3">
        <f t="shared" si="4"/>
        <v>1287.5940000000001</v>
      </c>
      <c r="L68" s="14">
        <v>34536</v>
      </c>
      <c r="M68" s="16">
        <f t="shared" si="5"/>
        <v>1.1782558243327679</v>
      </c>
      <c r="N68" s="5">
        <v>12693</v>
      </c>
      <c r="O68" s="4">
        <v>2.9580000000000002</v>
      </c>
      <c r="P68" s="3">
        <v>4.7528098141482404</v>
      </c>
      <c r="Q68" s="19">
        <f>Coeficiente!$E$19*(Sheet1!M68-Coeficiente!$B$5)</f>
        <v>-7.4979389858169876E-2</v>
      </c>
      <c r="R68" s="19">
        <f>Coeficiente!$E$21*(Sheet1!O68-Coeficiente!$B$6)</f>
        <v>1.7173509986738646</v>
      </c>
      <c r="S68" s="19">
        <f>Coeficiente!$E$20*(Sheet1!N68-Coeficiente!$B$7)</f>
        <v>-1.815676967176872</v>
      </c>
      <c r="T68" s="19">
        <f>Coeficiente!$E$22*(Sheet1!P68-Coeficiente!$B$8)</f>
        <v>0.21855075787881276</v>
      </c>
      <c r="U68" s="19">
        <f t="shared" si="6"/>
        <v>4.5245399517635537E-2</v>
      </c>
      <c r="V68" s="19">
        <f>Q68*I68</f>
        <v>-4.8759097224767869</v>
      </c>
      <c r="W68" s="19">
        <f>R68*I68</f>
        <v>111.67933544376142</v>
      </c>
      <c r="X68" s="19">
        <f>S68*I68</f>
        <v>-118.07347317551199</v>
      </c>
      <c r="Y68" s="19">
        <f>T68*I68</f>
        <v>14.212355784859193</v>
      </c>
      <c r="Z68" s="19">
        <f t="shared" si="7"/>
        <v>2.9423083306318265</v>
      </c>
      <c r="AA68" s="12">
        <f>Q68/J68</f>
        <v>-3.7868378716247411E-3</v>
      </c>
      <c r="AB68" s="13">
        <f>R68/J68</f>
        <v>8.6734898922922452E-2</v>
      </c>
      <c r="AC68" s="12">
        <f>S68/J68</f>
        <v>-9.1700856928124838E-2</v>
      </c>
      <c r="AD68" s="12">
        <f>T68/J68</f>
        <v>1.1037917064586502E-2</v>
      </c>
      <c r="AE68" s="19">
        <f>50*J68</f>
        <v>990</v>
      </c>
      <c r="AF68" s="19">
        <f>70*J68</f>
        <v>1386</v>
      </c>
      <c r="AG68" s="19">
        <f>100*J68</f>
        <v>1980</v>
      </c>
      <c r="AH68" s="12">
        <f>(12*AE68)/L68</f>
        <v>0.34398888116747739</v>
      </c>
      <c r="AI68" s="12">
        <f>(12*AF68)/L68</f>
        <v>0.4815844336344684</v>
      </c>
      <c r="AJ68" s="15">
        <f>(12*AG68)/L68</f>
        <v>0.68797776233495478</v>
      </c>
      <c r="AK68" s="4">
        <v>1</v>
      </c>
      <c r="AL68" s="4" t="s">
        <v>302</v>
      </c>
    </row>
    <row r="69" spans="1:38" ht="15.75" thickBot="1" x14ac:dyDescent="0.3">
      <c r="A69" s="4" t="s">
        <v>167</v>
      </c>
      <c r="B69" s="4" t="s">
        <v>162</v>
      </c>
      <c r="C69" s="4" t="s">
        <v>163</v>
      </c>
      <c r="D69" s="4" t="s">
        <v>168</v>
      </c>
      <c r="E69" s="4">
        <v>52</v>
      </c>
      <c r="F69" s="4">
        <v>6628</v>
      </c>
      <c r="G69" s="4">
        <v>40.378576000000002</v>
      </c>
      <c r="H69" s="4">
        <v>-3.706029</v>
      </c>
      <c r="I69" s="4">
        <v>59.94</v>
      </c>
      <c r="J69" s="4">
        <v>20.5</v>
      </c>
      <c r="K69" s="3">
        <f t="shared" si="4"/>
        <v>1228.77</v>
      </c>
      <c r="L69" s="14">
        <v>30335</v>
      </c>
      <c r="M69" s="16">
        <f t="shared" si="5"/>
        <v>0.78455039227519618</v>
      </c>
      <c r="N69" s="5">
        <v>9910</v>
      </c>
      <c r="O69" s="4">
        <v>4.2649999999999997</v>
      </c>
      <c r="P69" s="3">
        <v>6.9851551956815117</v>
      </c>
      <c r="Q69" s="19">
        <f>Coeficiente!$E$19*(Sheet1!M69-Coeficiente!$B$5)</f>
        <v>-0.12004760908489262</v>
      </c>
      <c r="R69" s="19">
        <f>Coeficiente!$E$21*(Sheet1!O69-Coeficiente!$B$6)</f>
        <v>0.68376451322197651</v>
      </c>
      <c r="S69" s="19">
        <f>Coeficiente!$E$20*(Sheet1!N69-Coeficiente!$B$7)</f>
        <v>-2.3572332707738908</v>
      </c>
      <c r="T69" s="19">
        <f>Coeficiente!$E$22*(Sheet1!P69-Coeficiente!$B$8)</f>
        <v>0.59365036144897942</v>
      </c>
      <c r="U69" s="19">
        <f t="shared" si="6"/>
        <v>-1.1998660051878276</v>
      </c>
      <c r="V69" s="19">
        <f>Q69*I69</f>
        <v>-7.1956536885484637</v>
      </c>
      <c r="W69" s="19">
        <f>R69*I69</f>
        <v>40.984844922525269</v>
      </c>
      <c r="X69" s="19">
        <f>S69*I69</f>
        <v>-141.29256225018702</v>
      </c>
      <c r="Y69" s="19">
        <f>T69*I69</f>
        <v>35.583402665251825</v>
      </c>
      <c r="Z69" s="19">
        <f t="shared" si="7"/>
        <v>-71.919968350958385</v>
      </c>
      <c r="AA69" s="12">
        <f>Q69/J69</f>
        <v>-5.8559809309703713E-3</v>
      </c>
      <c r="AB69" s="13">
        <f>R69/J69</f>
        <v>3.3354366498632999E-2</v>
      </c>
      <c r="AC69" s="12">
        <f>S69/J69</f>
        <v>-0.11498698881823857</v>
      </c>
      <c r="AD69" s="12">
        <f>T69/J69</f>
        <v>2.8958554217023386E-2</v>
      </c>
      <c r="AE69" s="19">
        <f>50*J69</f>
        <v>1025</v>
      </c>
      <c r="AF69" s="19">
        <f>70*J69</f>
        <v>1435</v>
      </c>
      <c r="AG69" s="19">
        <f>100*J69</f>
        <v>2050</v>
      </c>
      <c r="AH69" s="12">
        <f>(12*AE69)/L69</f>
        <v>0.40547222680072526</v>
      </c>
      <c r="AI69" s="12">
        <f>(12*AF69)/L69</f>
        <v>0.56766111752101533</v>
      </c>
      <c r="AJ69" s="15">
        <f>(12*AG69)/L69</f>
        <v>0.81094445360145051</v>
      </c>
      <c r="AK69" s="4">
        <v>1</v>
      </c>
      <c r="AL69" s="4" t="s">
        <v>302</v>
      </c>
    </row>
    <row r="70" spans="1:38" ht="15.75" thickBot="1" x14ac:dyDescent="0.3">
      <c r="A70" s="4" t="s">
        <v>169</v>
      </c>
      <c r="B70" s="4" t="s">
        <v>170</v>
      </c>
      <c r="C70" s="4" t="s">
        <v>171</v>
      </c>
      <c r="D70" s="4" t="s">
        <v>172</v>
      </c>
      <c r="E70" s="4">
        <v>244</v>
      </c>
      <c r="F70" s="4">
        <v>18134</v>
      </c>
      <c r="G70" s="4">
        <v>40.389437000000001</v>
      </c>
      <c r="H70" s="4">
        <v>-3.668374</v>
      </c>
      <c r="I70" s="4">
        <v>52.48</v>
      </c>
      <c r="J70" s="4">
        <v>20.5</v>
      </c>
      <c r="K70" s="3">
        <f t="shared" si="4"/>
        <v>1075.8399999999999</v>
      </c>
      <c r="L70" s="14">
        <v>28881</v>
      </c>
      <c r="M70" s="16">
        <f t="shared" si="5"/>
        <v>1.3455387669570971</v>
      </c>
      <c r="N70" s="5">
        <v>10252</v>
      </c>
      <c r="O70" s="4">
        <v>4.2690000000000001</v>
      </c>
      <c r="P70" s="3">
        <v>8.9683724574611148</v>
      </c>
      <c r="Q70" s="19">
        <f>Coeficiente!$E$19*(Sheet1!M70-Coeficiente!$B$5)</f>
        <v>-5.5830189168497663E-2</v>
      </c>
      <c r="R70" s="19">
        <f>Coeficiente!$E$21*(Sheet1!O70-Coeficiente!$B$6)</f>
        <v>0.68060127990766284</v>
      </c>
      <c r="S70" s="19">
        <f>Coeficiente!$E$20*(Sheet1!N70-Coeficiente!$B$7)</f>
        <v>-2.2906819751108722</v>
      </c>
      <c r="T70" s="19">
        <f>Coeficiente!$E$22*(Sheet1!P70-Coeficiente!$B$8)</f>
        <v>0.92688912227912279</v>
      </c>
      <c r="U70" s="19">
        <f t="shared" si="6"/>
        <v>-0.73902176209258441</v>
      </c>
      <c r="V70" s="19">
        <f>Q70*I70</f>
        <v>-2.929968327562757</v>
      </c>
      <c r="W70" s="19">
        <f>R70*I70</f>
        <v>35.717955169554145</v>
      </c>
      <c r="X70" s="19">
        <f>S70*I70</f>
        <v>-120.21499005381857</v>
      </c>
      <c r="Y70" s="19">
        <f>T70*I70</f>
        <v>48.64314113720836</v>
      </c>
      <c r="Z70" s="19">
        <f t="shared" si="7"/>
        <v>-38.783862074618824</v>
      </c>
      <c r="AA70" s="12">
        <f>Q70/J70</f>
        <v>-2.7234238618779349E-3</v>
      </c>
      <c r="AB70" s="13">
        <f>R70/J70</f>
        <v>3.3200062434520138E-2</v>
      </c>
      <c r="AC70" s="12">
        <f>S70/J70</f>
        <v>-0.11174058415174987</v>
      </c>
      <c r="AD70" s="12">
        <f>T70/J70</f>
        <v>4.5214103525810866E-2</v>
      </c>
      <c r="AE70" s="19">
        <f>50*J70</f>
        <v>1025</v>
      </c>
      <c r="AF70" s="19">
        <f>70*J70</f>
        <v>1435</v>
      </c>
      <c r="AG70" s="19">
        <f>100*J70</f>
        <v>2050</v>
      </c>
      <c r="AH70" s="12">
        <f>(12*AE70)/L70</f>
        <v>0.42588553027942244</v>
      </c>
      <c r="AI70" s="12">
        <f>(12*AF70)/L70</f>
        <v>0.59623974239119149</v>
      </c>
      <c r="AJ70" s="15">
        <f>(12*AG70)/L70</f>
        <v>0.85177106055884488</v>
      </c>
      <c r="AK70" s="4">
        <v>1</v>
      </c>
      <c r="AL70" s="4" t="s">
        <v>302</v>
      </c>
    </row>
    <row r="71" spans="1:38" ht="15.75" thickBot="1" x14ac:dyDescent="0.3">
      <c r="A71" s="4" t="s">
        <v>173</v>
      </c>
      <c r="B71" s="4" t="s">
        <v>170</v>
      </c>
      <c r="C71" s="4" t="s">
        <v>171</v>
      </c>
      <c r="D71" s="4" t="s">
        <v>174</v>
      </c>
      <c r="E71" s="4">
        <v>46</v>
      </c>
      <c r="F71" s="4">
        <v>16721</v>
      </c>
      <c r="G71" s="4">
        <v>40.385216999999997</v>
      </c>
      <c r="H71" s="4">
        <v>-3.6585019999999999</v>
      </c>
      <c r="I71" s="4">
        <v>64.33</v>
      </c>
      <c r="J71" s="4">
        <v>16.8</v>
      </c>
      <c r="K71" s="3">
        <f t="shared" si="4"/>
        <v>1080.7439999999999</v>
      </c>
      <c r="L71" s="14">
        <v>37176</v>
      </c>
      <c r="M71" s="16">
        <f t="shared" si="5"/>
        <v>0.27510316368638238</v>
      </c>
      <c r="N71" s="5">
        <v>13967</v>
      </c>
      <c r="O71" s="4">
        <v>5.1970000000000001</v>
      </c>
      <c r="P71" s="3">
        <v>3.108279015468431</v>
      </c>
      <c r="Q71" s="19">
        <f>Coeficiente!$E$19*(Sheet1!M71-Coeficiente!$B$5)</f>
        <v>-0.17836501472111854</v>
      </c>
      <c r="R71" s="19">
        <f>Coeficiente!$E$21*(Sheet1!O71-Coeficiente!$B$6)</f>
        <v>-5.3268849013035378E-2</v>
      </c>
      <c r="S71" s="19">
        <f>Coeficiente!$E$20*(Sheet1!N71-Coeficiente!$B$7)</f>
        <v>-1.5677636611105401</v>
      </c>
      <c r="T71" s="19">
        <f>Coeficiente!$E$22*(Sheet1!P71-Coeficiente!$B$8)</f>
        <v>-5.7778727579229611E-2</v>
      </c>
      <c r="U71" s="19">
        <f t="shared" si="6"/>
        <v>-1.8571762524239237</v>
      </c>
      <c r="V71" s="19">
        <f>Q71*I71</f>
        <v>-11.474221397009556</v>
      </c>
      <c r="W71" s="19">
        <f>R71*I71</f>
        <v>-3.4267850570085656</v>
      </c>
      <c r="X71" s="19">
        <f>S71*I71</f>
        <v>-100.85423631924104</v>
      </c>
      <c r="Y71" s="19">
        <f>T71*I71</f>
        <v>-3.7169055451718407</v>
      </c>
      <c r="Z71" s="19">
        <f t="shared" si="7"/>
        <v>-119.472148318431</v>
      </c>
      <c r="AA71" s="12">
        <f>Q71/J71</f>
        <v>-1.0616965161971342E-2</v>
      </c>
      <c r="AB71" s="13">
        <f>R71/J71</f>
        <v>-3.1707648222044867E-3</v>
      </c>
      <c r="AC71" s="12">
        <f>S71/J71</f>
        <v>-9.3319265542294055E-2</v>
      </c>
      <c r="AD71" s="12">
        <f>T71/J71</f>
        <v>-3.4392099749541434E-3</v>
      </c>
      <c r="AE71" s="19">
        <f>50*J71</f>
        <v>840</v>
      </c>
      <c r="AF71" s="19">
        <f>70*J71</f>
        <v>1176</v>
      </c>
      <c r="AG71" s="19">
        <f>100*J71</f>
        <v>1680</v>
      </c>
      <c r="AH71" s="12">
        <f>(12*AE71)/L71</f>
        <v>0.27114267269205938</v>
      </c>
      <c r="AI71" s="12">
        <f>(12*AF71)/L71</f>
        <v>0.37959974176888317</v>
      </c>
      <c r="AJ71" s="15">
        <f>(12*AG71)/L71</f>
        <v>0.54228534538411877</v>
      </c>
      <c r="AK71" s="4">
        <v>1</v>
      </c>
      <c r="AL71" s="4" t="s">
        <v>302</v>
      </c>
    </row>
    <row r="72" spans="1:38" ht="15.75" thickBot="1" x14ac:dyDescent="0.3">
      <c r="A72" s="4" t="s">
        <v>175</v>
      </c>
      <c r="B72" s="4" t="s">
        <v>170</v>
      </c>
      <c r="C72" s="4" t="s">
        <v>171</v>
      </c>
      <c r="D72" s="4" t="s">
        <v>176</v>
      </c>
      <c r="E72" s="4">
        <v>49</v>
      </c>
      <c r="F72" s="4">
        <v>18136</v>
      </c>
      <c r="G72" s="4">
        <v>40.385440000000003</v>
      </c>
      <c r="H72" s="4">
        <v>-3.635437</v>
      </c>
      <c r="I72" s="4">
        <v>77.52</v>
      </c>
      <c r="J72" s="4">
        <v>16.3</v>
      </c>
      <c r="K72" s="3">
        <f t="shared" si="4"/>
        <v>1263.576</v>
      </c>
      <c r="L72" s="14">
        <v>35288</v>
      </c>
      <c r="M72" s="16">
        <f t="shared" si="5"/>
        <v>0.27018085575650641</v>
      </c>
      <c r="N72" s="5">
        <v>13353</v>
      </c>
      <c r="O72" s="4">
        <v>6.7539999999999996</v>
      </c>
      <c r="P72" s="3">
        <v>2.8187030311336492</v>
      </c>
      <c r="Q72" s="19">
        <f>Coeficiente!$E$19*(Sheet1!M72-Coeficiente!$B$5)</f>
        <v>-0.17892848079199725</v>
      </c>
      <c r="R72" s="19">
        <f>Coeficiente!$E$21*(Sheet1!O72-Coeficiente!$B$6)</f>
        <v>-1.2845574166095082</v>
      </c>
      <c r="S72" s="19">
        <f>Coeficiente!$E$20*(Sheet1!N72-Coeficiente!$B$7)</f>
        <v>-1.6872446422131522</v>
      </c>
      <c r="T72" s="19">
        <f>Coeficiente!$E$22*(Sheet1!P72-Coeficiente!$B$8)</f>
        <v>-0.10643599980330305</v>
      </c>
      <c r="U72" s="19">
        <f t="shared" si="6"/>
        <v>-3.2571665394179607</v>
      </c>
      <c r="V72" s="19">
        <f>Q72*I72</f>
        <v>-13.870535830995626</v>
      </c>
      <c r="W72" s="19">
        <f>R72*I72</f>
        <v>-99.578890935569063</v>
      </c>
      <c r="X72" s="19">
        <f>S72*I72</f>
        <v>-130.79520466436355</v>
      </c>
      <c r="Y72" s="19">
        <f>T72*I72</f>
        <v>-8.2509187047520527</v>
      </c>
      <c r="Z72" s="19">
        <f t="shared" si="7"/>
        <v>-252.49555013568028</v>
      </c>
      <c r="AA72" s="12">
        <f>Q72/J72</f>
        <v>-1.0977207410551977E-2</v>
      </c>
      <c r="AB72" s="13">
        <f>R72/J72</f>
        <v>-7.8807203472975956E-2</v>
      </c>
      <c r="AC72" s="12">
        <f>S72/J72</f>
        <v>-0.10351194124007068</v>
      </c>
      <c r="AD72" s="12">
        <f>T72/J72</f>
        <v>-6.5298159388529481E-3</v>
      </c>
      <c r="AE72" s="19">
        <f>50*J72</f>
        <v>815</v>
      </c>
      <c r="AF72" s="19">
        <f>70*J72</f>
        <v>1141</v>
      </c>
      <c r="AG72" s="19">
        <f>100*J72</f>
        <v>1630</v>
      </c>
      <c r="AH72" s="12">
        <f>(12*AE72)/L72</f>
        <v>0.27714803899342555</v>
      </c>
      <c r="AI72" s="12">
        <f>(12*AF72)/L72</f>
        <v>0.38800725459079571</v>
      </c>
      <c r="AJ72" s="15">
        <f>(12*AG72)/L72</f>
        <v>0.5542960779868511</v>
      </c>
      <c r="AK72" s="4">
        <v>1</v>
      </c>
      <c r="AL72" s="4" t="s">
        <v>302</v>
      </c>
    </row>
    <row r="73" spans="1:38" ht="15.75" thickBot="1" x14ac:dyDescent="0.3">
      <c r="A73" s="4" t="s">
        <v>177</v>
      </c>
      <c r="B73" s="4" t="s">
        <v>170</v>
      </c>
      <c r="C73" s="4" t="s">
        <v>171</v>
      </c>
      <c r="D73" s="4" t="s">
        <v>178</v>
      </c>
      <c r="E73" s="4">
        <v>219</v>
      </c>
      <c r="F73" s="4">
        <v>20339</v>
      </c>
      <c r="G73" s="4">
        <v>40.399084999999999</v>
      </c>
      <c r="H73" s="4">
        <v>-3.6582119999999998</v>
      </c>
      <c r="I73" s="4">
        <v>56.39</v>
      </c>
      <c r="J73" s="4">
        <v>20.399999999999999</v>
      </c>
      <c r="K73" s="3">
        <f t="shared" si="4"/>
        <v>1150.356</v>
      </c>
      <c r="L73" s="14">
        <v>32287</v>
      </c>
      <c r="M73" s="16">
        <f t="shared" si="5"/>
        <v>1.0767491027090812</v>
      </c>
      <c r="N73" s="5">
        <v>12136</v>
      </c>
      <c r="O73" s="4">
        <v>4.3259999999999996</v>
      </c>
      <c r="P73" s="3">
        <v>4.4963433352394144</v>
      </c>
      <c r="Q73" s="19">
        <f>Coeficiente!$E$19*(Sheet1!M73-Coeficiente!$B$5)</f>
        <v>-8.659905982110111E-2</v>
      </c>
      <c r="R73" s="19">
        <f>Coeficiente!$E$21*(Sheet1!O73-Coeficiente!$B$6)</f>
        <v>0.63552520517869793</v>
      </c>
      <c r="S73" s="19">
        <f>Coeficiente!$E$20*(Sheet1!N73-Coeficiente!$B$7)</f>
        <v>-1.9240660656689812</v>
      </c>
      <c r="T73" s="19">
        <f>Coeficiente!$E$22*(Sheet1!P73-Coeficiente!$B$8)</f>
        <v>0.17545685522219853</v>
      </c>
      <c r="U73" s="19">
        <f t="shared" si="6"/>
        <v>-1.1996830650891859</v>
      </c>
      <c r="V73" s="19">
        <f>Q73*I73</f>
        <v>-4.8833209833118918</v>
      </c>
      <c r="W73" s="19">
        <f>R73*I73</f>
        <v>35.837266320026778</v>
      </c>
      <c r="X73" s="19">
        <f>S73*I73</f>
        <v>-108.49808544307385</v>
      </c>
      <c r="Y73" s="19">
        <f>T73*I73</f>
        <v>9.8940120659797746</v>
      </c>
      <c r="Z73" s="19">
        <f t="shared" si="7"/>
        <v>-67.650128040379172</v>
      </c>
      <c r="AA73" s="12">
        <f>Q73/J73</f>
        <v>-4.245051952014761E-3</v>
      </c>
      <c r="AB73" s="13">
        <f>R73/J73</f>
        <v>3.1153196332289117E-2</v>
      </c>
      <c r="AC73" s="12">
        <f>S73/J73</f>
        <v>-9.4316964003381437E-2</v>
      </c>
      <c r="AD73" s="12">
        <f>T73/J73</f>
        <v>8.6008262363822825E-3</v>
      </c>
      <c r="AE73" s="19">
        <f>50*J73</f>
        <v>1019.9999999999999</v>
      </c>
      <c r="AF73" s="19">
        <f>70*J73</f>
        <v>1428</v>
      </c>
      <c r="AG73" s="19">
        <f>100*J73</f>
        <v>2039.9999999999998</v>
      </c>
      <c r="AH73" s="12">
        <f>(12*AE73)/L73</f>
        <v>0.37909994734722946</v>
      </c>
      <c r="AI73" s="12">
        <f>(12*AF73)/L73</f>
        <v>0.53073992628612132</v>
      </c>
      <c r="AJ73" s="15">
        <f>(12*AG73)/L73</f>
        <v>0.75819989469445892</v>
      </c>
      <c r="AK73" s="4">
        <v>1</v>
      </c>
      <c r="AL73" s="4" t="s">
        <v>302</v>
      </c>
    </row>
    <row r="74" spans="1:38" ht="15.75" thickBot="1" x14ac:dyDescent="0.3">
      <c r="A74" s="4" t="s">
        <v>179</v>
      </c>
      <c r="B74" s="4" t="s">
        <v>180</v>
      </c>
      <c r="C74" s="4" t="s">
        <v>181</v>
      </c>
      <c r="D74" s="4" t="s">
        <v>182</v>
      </c>
      <c r="E74" s="4">
        <v>17</v>
      </c>
      <c r="F74" s="4">
        <v>11936</v>
      </c>
      <c r="G74" s="4">
        <v>40.410054000000002</v>
      </c>
      <c r="H74" s="4">
        <v>-3.6412870000000002</v>
      </c>
      <c r="I74" s="4">
        <v>79.400000000000006</v>
      </c>
      <c r="J74" s="4">
        <v>16.7</v>
      </c>
      <c r="K74" s="3">
        <f t="shared" si="4"/>
        <v>1325.98</v>
      </c>
      <c r="L74" s="14">
        <v>48415</v>
      </c>
      <c r="M74" s="16">
        <f t="shared" si="5"/>
        <v>0.14242627345844505</v>
      </c>
      <c r="N74" s="5">
        <v>20036</v>
      </c>
      <c r="O74" s="4">
        <v>5.3360000000000003</v>
      </c>
      <c r="P74" s="3">
        <v>0.98289458646043659</v>
      </c>
      <c r="Q74" s="19">
        <f>Coeficiente!$E$19*(Sheet1!M74-Coeficiente!$B$5)</f>
        <v>-0.1935527939291995</v>
      </c>
      <c r="R74" s="19">
        <f>Coeficiente!$E$21*(Sheet1!O74-Coeficiente!$B$6)</f>
        <v>-0.16319120668542464</v>
      </c>
      <c r="S74" s="19">
        <f>Coeficiente!$E$20*(Sheet1!N74-Coeficiente!$B$7)</f>
        <v>-0.38677005473960702</v>
      </c>
      <c r="T74" s="19">
        <f>Coeficiente!$E$22*(Sheet1!P74-Coeficiente!$B$8)</f>
        <v>-0.41490574893984505</v>
      </c>
      <c r="U74" s="19">
        <f t="shared" si="6"/>
        <v>-1.1584198042940763</v>
      </c>
      <c r="V74" s="19">
        <f>Q74*I74</f>
        <v>-15.368091837978442</v>
      </c>
      <c r="W74" s="19">
        <f>R74*I74</f>
        <v>-12.957381810822717</v>
      </c>
      <c r="X74" s="19">
        <f>S74*I74</f>
        <v>-30.709542346324799</v>
      </c>
      <c r="Y74" s="19">
        <f>T74*I74</f>
        <v>-32.943516465823699</v>
      </c>
      <c r="Z74" s="19">
        <f t="shared" si="7"/>
        <v>-91.978532460949651</v>
      </c>
      <c r="AA74" s="12">
        <f>Q74/J74</f>
        <v>-1.1589987660431109E-2</v>
      </c>
      <c r="AB74" s="13">
        <f>R74/J74</f>
        <v>-9.7719285440374046E-3</v>
      </c>
      <c r="AC74" s="12">
        <f>S74/J74</f>
        <v>-2.3159883517341738E-2</v>
      </c>
      <c r="AD74" s="12">
        <f>T74/J74</f>
        <v>-2.4844655625140422E-2</v>
      </c>
      <c r="AE74" s="19">
        <f>50*J74</f>
        <v>835</v>
      </c>
      <c r="AF74" s="19">
        <f>70*J74</f>
        <v>1169</v>
      </c>
      <c r="AG74" s="19">
        <f>100*J74</f>
        <v>1670</v>
      </c>
      <c r="AH74" s="12">
        <f>(12*AE74)/L74</f>
        <v>0.20696065269028194</v>
      </c>
      <c r="AI74" s="12">
        <f>(12*AF74)/L74</f>
        <v>0.28974491376639472</v>
      </c>
      <c r="AJ74" s="15">
        <f>(12*AG74)/L74</f>
        <v>0.41392130538056388</v>
      </c>
      <c r="AK74" s="4">
        <v>1</v>
      </c>
      <c r="AL74" s="4" t="s">
        <v>302</v>
      </c>
    </row>
    <row r="75" spans="1:38" ht="15.75" thickBot="1" x14ac:dyDescent="0.3">
      <c r="A75" s="4" t="s">
        <v>183</v>
      </c>
      <c r="B75" s="4" t="s">
        <v>184</v>
      </c>
      <c r="C75" s="4" t="s">
        <v>185</v>
      </c>
      <c r="D75" s="4" t="s">
        <v>186</v>
      </c>
      <c r="E75" s="4">
        <v>216</v>
      </c>
      <c r="F75" s="4">
        <v>23652</v>
      </c>
      <c r="G75" s="4">
        <v>40.423537000000003</v>
      </c>
      <c r="H75" s="4">
        <v>-3.6498439999999999</v>
      </c>
      <c r="I75" s="4">
        <v>65.959999999999994</v>
      </c>
      <c r="J75" s="4">
        <v>20</v>
      </c>
      <c r="K75" s="3">
        <f t="shared" si="4"/>
        <v>1319.1999999999998</v>
      </c>
      <c r="L75" s="14">
        <v>37510</v>
      </c>
      <c r="M75" s="16">
        <f t="shared" si="5"/>
        <v>0.91324200913242004</v>
      </c>
      <c r="N75" s="5">
        <v>15254</v>
      </c>
      <c r="O75" s="4">
        <v>4.6130000000000004</v>
      </c>
      <c r="P75" s="3">
        <v>3.9144483165919901</v>
      </c>
      <c r="Q75" s="19">
        <f>Coeficiente!$E$19*(Sheet1!M75-Coeficiente!$B$5)</f>
        <v>-0.10531603179663551</v>
      </c>
      <c r="R75" s="19">
        <f>Coeficiente!$E$21*(Sheet1!O75-Coeficiente!$B$6)</f>
        <v>0.4085632148767141</v>
      </c>
      <c r="S75" s="19">
        <f>Coeficiente!$E$20*(Sheet1!N75-Coeficiente!$B$7)</f>
        <v>-1.3173206274312863</v>
      </c>
      <c r="T75" s="19">
        <f>Coeficiente!$E$22*(Sheet1!P75-Coeficiente!$B$8)</f>
        <v>7.7681397795361054E-2</v>
      </c>
      <c r="U75" s="19">
        <f t="shared" si="6"/>
        <v>-0.93639204655584651</v>
      </c>
      <c r="V75" s="19">
        <f>Q75*I75</f>
        <v>-6.9466454573060776</v>
      </c>
      <c r="W75" s="19">
        <f>R75*I75</f>
        <v>26.94882965326806</v>
      </c>
      <c r="X75" s="19">
        <f>S75*I75</f>
        <v>-86.890468585367643</v>
      </c>
      <c r="Y75" s="19">
        <f>T75*I75</f>
        <v>5.1238649985820146</v>
      </c>
      <c r="Z75" s="19">
        <f t="shared" si="7"/>
        <v>-61.764419390823655</v>
      </c>
      <c r="AA75" s="12">
        <f>Q75/J75</f>
        <v>-5.2658015898317759E-3</v>
      </c>
      <c r="AB75" s="13">
        <f>R75/J75</f>
        <v>2.0428160743835706E-2</v>
      </c>
      <c r="AC75" s="12">
        <f>S75/J75</f>
        <v>-6.5866031371564313E-2</v>
      </c>
      <c r="AD75" s="12">
        <f>T75/J75</f>
        <v>3.8840698897680526E-3</v>
      </c>
      <c r="AE75" s="19">
        <f>50*J75</f>
        <v>1000</v>
      </c>
      <c r="AF75" s="19">
        <f>70*J75</f>
        <v>1400</v>
      </c>
      <c r="AG75" s="19">
        <f>100*J75</f>
        <v>2000</v>
      </c>
      <c r="AH75" s="12">
        <f>(12*AE75)/L75</f>
        <v>0.3199146894161557</v>
      </c>
      <c r="AI75" s="12">
        <f>(12*AF75)/L75</f>
        <v>0.44788056518261798</v>
      </c>
      <c r="AJ75" s="15">
        <f>(12*AG75)/L75</f>
        <v>0.63982937883231139</v>
      </c>
      <c r="AK75" s="4">
        <v>1</v>
      </c>
      <c r="AL75" s="4" t="s">
        <v>302</v>
      </c>
    </row>
    <row r="76" spans="1:38" ht="15.75" thickBot="1" x14ac:dyDescent="0.3">
      <c r="A76" s="4" t="s">
        <v>187</v>
      </c>
      <c r="B76" s="4" t="s">
        <v>184</v>
      </c>
      <c r="C76" s="4" t="s">
        <v>185</v>
      </c>
      <c r="D76" s="4" t="s">
        <v>188</v>
      </c>
      <c r="E76" s="4">
        <v>220</v>
      </c>
      <c r="F76" s="4">
        <v>27791</v>
      </c>
      <c r="G76" s="4">
        <v>40.425193999999998</v>
      </c>
      <c r="H76" s="4">
        <v>-3.6359940000000002</v>
      </c>
      <c r="I76" s="4">
        <v>67.5</v>
      </c>
      <c r="J76" s="4">
        <v>19.5</v>
      </c>
      <c r="K76" s="3">
        <f t="shared" si="4"/>
        <v>1316.25</v>
      </c>
      <c r="L76" s="14">
        <v>38607</v>
      </c>
      <c r="M76" s="16">
        <f t="shared" si="5"/>
        <v>0.79162318736281534</v>
      </c>
      <c r="N76" s="5">
        <v>14782</v>
      </c>
      <c r="O76" s="4">
        <v>5.8019999999999996</v>
      </c>
      <c r="P76" s="3">
        <v>4.7143278897400442</v>
      </c>
      <c r="Q76" s="19">
        <f>Coeficiente!$E$19*(Sheet1!M76-Coeficiente!$B$5)</f>
        <v>-0.11923797260645082</v>
      </c>
      <c r="R76" s="19">
        <f>Coeficiente!$E$21*(Sheet1!O76-Coeficiente!$B$6)</f>
        <v>-0.53170788780292988</v>
      </c>
      <c r="S76" s="19">
        <f>Coeficiente!$E$20*(Sheet1!N76-Coeficiente!$B$7)</f>
        <v>-1.4091691992235225</v>
      </c>
      <c r="T76" s="19">
        <f>Coeficiente!$E$22*(Sheet1!P76-Coeficiente!$B$8)</f>
        <v>0.21208466409711613</v>
      </c>
      <c r="U76" s="19">
        <f t="shared" si="6"/>
        <v>-1.8480303955357871</v>
      </c>
      <c r="V76" s="19">
        <f>Q76*I76</f>
        <v>-8.048563150935431</v>
      </c>
      <c r="W76" s="19">
        <f>R76*I76</f>
        <v>-35.890282426697766</v>
      </c>
      <c r="X76" s="19">
        <f>S76*I76</f>
        <v>-95.118920947587768</v>
      </c>
      <c r="Y76" s="19">
        <f>T76*I76</f>
        <v>14.315714826555338</v>
      </c>
      <c r="Z76" s="19">
        <f t="shared" si="7"/>
        <v>-124.74205169866562</v>
      </c>
      <c r="AA76" s="12">
        <f>Q76/J76</f>
        <v>-6.1147678259718371E-3</v>
      </c>
      <c r="AB76" s="13">
        <f>R76/J76</f>
        <v>-2.726707116938102E-2</v>
      </c>
      <c r="AC76" s="12">
        <f>S76/J76</f>
        <v>-7.2265087139667825E-2</v>
      </c>
      <c r="AD76" s="12">
        <f>T76/J76</f>
        <v>1.0876136620364929E-2</v>
      </c>
      <c r="AE76" s="19">
        <f>50*J76</f>
        <v>975</v>
      </c>
      <c r="AF76" s="19">
        <f>70*J76</f>
        <v>1365</v>
      </c>
      <c r="AG76" s="19">
        <f>100*J76</f>
        <v>1950</v>
      </c>
      <c r="AH76" s="12">
        <f>(12*AE76)/L76</f>
        <v>0.30305385033802162</v>
      </c>
      <c r="AI76" s="12">
        <f>(12*AF76)/L76</f>
        <v>0.42427539047323026</v>
      </c>
      <c r="AJ76" s="15">
        <f>(12*AG76)/L76</f>
        <v>0.60610770067604325</v>
      </c>
      <c r="AK76" s="4">
        <v>1</v>
      </c>
      <c r="AL76" s="4" t="s">
        <v>302</v>
      </c>
    </row>
    <row r="77" spans="1:38" ht="15.75" thickBot="1" x14ac:dyDescent="0.3">
      <c r="A77" s="4" t="s">
        <v>189</v>
      </c>
      <c r="B77" s="4" t="s">
        <v>184</v>
      </c>
      <c r="C77" s="4" t="s">
        <v>185</v>
      </c>
      <c r="D77" s="4" t="s">
        <v>190</v>
      </c>
      <c r="E77" s="4">
        <v>100</v>
      </c>
      <c r="F77" s="4">
        <v>12388</v>
      </c>
      <c r="G77" s="4">
        <v>40.437573999999998</v>
      </c>
      <c r="H77" s="4">
        <v>-3.6431360000000002</v>
      </c>
      <c r="I77" s="4">
        <v>64.58</v>
      </c>
      <c r="J77" s="4">
        <v>20</v>
      </c>
      <c r="K77" s="3">
        <f t="shared" si="4"/>
        <v>1291.5999999999999</v>
      </c>
      <c r="L77" s="14">
        <v>39597</v>
      </c>
      <c r="M77" s="16">
        <f t="shared" si="5"/>
        <v>0.80723280594123348</v>
      </c>
      <c r="N77" s="5">
        <v>16290</v>
      </c>
      <c r="O77" s="4">
        <v>5.6109999999999998</v>
      </c>
      <c r="P77" s="3">
        <v>4.9510826903563014</v>
      </c>
      <c r="Q77" s="19">
        <f>Coeficiente!$E$19*(Sheet1!M77-Coeficiente!$B$5)</f>
        <v>-0.11745110949800681</v>
      </c>
      <c r="R77" s="19">
        <f>Coeficiente!$E$21*(Sheet1!O77-Coeficiente!$B$6)</f>
        <v>-0.38066349704446734</v>
      </c>
      <c r="S77" s="19">
        <f>Coeficiente!$E$20*(Sheet1!N77-Coeficiente!$B$7)</f>
        <v>-1.1157207961245987</v>
      </c>
      <c r="T77" s="19">
        <f>Coeficiente!$E$22*(Sheet1!P77-Coeficiente!$B$8)</f>
        <v>0.25186642573182144</v>
      </c>
      <c r="U77" s="19">
        <f t="shared" si="6"/>
        <v>-1.3619689769352514</v>
      </c>
      <c r="V77" s="19">
        <f>Q77*I77</f>
        <v>-7.5849926513812802</v>
      </c>
      <c r="W77" s="19">
        <f>R77*I77</f>
        <v>-24.5832486391317</v>
      </c>
      <c r="X77" s="19">
        <f>S77*I77</f>
        <v>-72.053249013726585</v>
      </c>
      <c r="Y77" s="19">
        <f>T77*I77</f>
        <v>16.265533773761028</v>
      </c>
      <c r="Z77" s="19">
        <f t="shared" si="7"/>
        <v>-87.955956530478545</v>
      </c>
      <c r="AA77" s="12">
        <f>Q77/J77</f>
        <v>-5.8725554749003411E-3</v>
      </c>
      <c r="AB77" s="13">
        <f>R77/J77</f>
        <v>-1.9033174852223368E-2</v>
      </c>
      <c r="AC77" s="12">
        <f>S77/J77</f>
        <v>-5.578603980622994E-2</v>
      </c>
      <c r="AD77" s="12">
        <f>T77/J77</f>
        <v>1.2593321286591071E-2</v>
      </c>
      <c r="AE77" s="19">
        <f>50*J77</f>
        <v>1000</v>
      </c>
      <c r="AF77" s="19">
        <f>70*J77</f>
        <v>1400</v>
      </c>
      <c r="AG77" s="19">
        <f>100*J77</f>
        <v>2000</v>
      </c>
      <c r="AH77" s="12">
        <f>(12*AE77)/L77</f>
        <v>0.3030532616107281</v>
      </c>
      <c r="AI77" s="12">
        <f>(12*AF77)/L77</f>
        <v>0.4242745662550193</v>
      </c>
      <c r="AJ77" s="15">
        <f>(12*AG77)/L77</f>
        <v>0.60610652322145619</v>
      </c>
      <c r="AK77" s="4">
        <v>1</v>
      </c>
      <c r="AL77" s="4" t="s">
        <v>302</v>
      </c>
    </row>
    <row r="78" spans="1:38" ht="15.75" thickBot="1" x14ac:dyDescent="0.3">
      <c r="A78" s="4" t="s">
        <v>191</v>
      </c>
      <c r="B78" s="4" t="s">
        <v>184</v>
      </c>
      <c r="C78" s="4" t="s">
        <v>185</v>
      </c>
      <c r="D78" s="4" t="s">
        <v>192</v>
      </c>
      <c r="E78" s="4">
        <v>87</v>
      </c>
      <c r="F78" s="4">
        <v>11002</v>
      </c>
      <c r="G78" s="4">
        <v>40.439214</v>
      </c>
      <c r="H78" s="4">
        <v>-3.6488040000000002</v>
      </c>
      <c r="I78" s="4">
        <v>68.48</v>
      </c>
      <c r="J78" s="4">
        <v>20</v>
      </c>
      <c r="K78" s="3">
        <f t="shared" si="4"/>
        <v>1369.6000000000001</v>
      </c>
      <c r="L78" s="14">
        <v>44507</v>
      </c>
      <c r="M78" s="16">
        <f t="shared" si="5"/>
        <v>0.79076531539720063</v>
      </c>
      <c r="N78" s="5">
        <v>19248</v>
      </c>
      <c r="O78" s="4">
        <v>5.2590000000000003</v>
      </c>
      <c r="P78" s="3">
        <v>6.0883857675301529</v>
      </c>
      <c r="Q78" s="19">
        <f>Coeficiente!$E$19*(Sheet1!M78-Coeficiente!$B$5)</f>
        <v>-0.11933617486292648</v>
      </c>
      <c r="R78" s="19">
        <f>Coeficiente!$E$21*(Sheet1!O78-Coeficiente!$B$6)</f>
        <v>-0.1022989653848926</v>
      </c>
      <c r="S78" s="19">
        <f>Coeficiente!$E$20*(Sheet1!N78-Coeficiente!$B$7)</f>
        <v>-0.54011046696901799</v>
      </c>
      <c r="T78" s="19">
        <f>Coeficiente!$E$22*(Sheet1!P78-Coeficiente!$B$8)</f>
        <v>0.44296675317937517</v>
      </c>
      <c r="U78" s="19">
        <f t="shared" si="6"/>
        <v>-0.31877885403746187</v>
      </c>
      <c r="V78" s="19">
        <f>Q78*I78</f>
        <v>-8.1721412546132068</v>
      </c>
      <c r="W78" s="19">
        <f>R78*I78</f>
        <v>-7.0054331495574456</v>
      </c>
      <c r="X78" s="19">
        <f>S78*I78</f>
        <v>-36.986764778038356</v>
      </c>
      <c r="Y78" s="19">
        <f>T78*I78</f>
        <v>30.334363257723613</v>
      </c>
      <c r="Z78" s="19">
        <f t="shared" si="7"/>
        <v>-21.829975924485392</v>
      </c>
      <c r="AA78" s="12">
        <f>Q78/J78</f>
        <v>-5.9668087431463245E-3</v>
      </c>
      <c r="AB78" s="13">
        <f>R78/J78</f>
        <v>-5.1149482692446294E-3</v>
      </c>
      <c r="AC78" s="12">
        <f>S78/J78</f>
        <v>-2.70055233484509E-2</v>
      </c>
      <c r="AD78" s="12">
        <f>T78/J78</f>
        <v>2.2148337658968759E-2</v>
      </c>
      <c r="AE78" s="19">
        <f>50*J78</f>
        <v>1000</v>
      </c>
      <c r="AF78" s="19">
        <f>70*J78</f>
        <v>1400</v>
      </c>
      <c r="AG78" s="19">
        <f>100*J78</f>
        <v>2000</v>
      </c>
      <c r="AH78" s="12">
        <f>(12*AE78)/L78</f>
        <v>0.26962050913339475</v>
      </c>
      <c r="AI78" s="12">
        <f>(12*AF78)/L78</f>
        <v>0.37746871278675265</v>
      </c>
      <c r="AJ78" s="15">
        <f>(12*AG78)/L78</f>
        <v>0.5392410182667895</v>
      </c>
      <c r="AK78" s="4">
        <v>1</v>
      </c>
      <c r="AL78" s="4" t="s">
        <v>302</v>
      </c>
    </row>
    <row r="79" spans="1:38" ht="15.75" thickBot="1" x14ac:dyDescent="0.3">
      <c r="A79" s="4" t="s">
        <v>193</v>
      </c>
      <c r="B79" s="4" t="s">
        <v>184</v>
      </c>
      <c r="C79" s="4" t="s">
        <v>185</v>
      </c>
      <c r="D79" s="4" t="s">
        <v>194</v>
      </c>
      <c r="E79" s="4">
        <v>38</v>
      </c>
      <c r="F79" s="4">
        <v>9055</v>
      </c>
      <c r="G79" s="4">
        <v>40.442991999999997</v>
      </c>
      <c r="H79" s="4">
        <v>-3.6538379999999999</v>
      </c>
      <c r="I79" s="4">
        <v>75.62</v>
      </c>
      <c r="J79" s="4">
        <v>20.6</v>
      </c>
      <c r="K79" s="3">
        <f t="shared" si="4"/>
        <v>1557.7720000000002</v>
      </c>
      <c r="L79" s="14">
        <v>52645</v>
      </c>
      <c r="M79" s="16">
        <f t="shared" si="5"/>
        <v>0.41965764770844838</v>
      </c>
      <c r="N79" s="5">
        <v>22329</v>
      </c>
      <c r="O79" s="4">
        <v>5.1109999999999998</v>
      </c>
      <c r="P79" s="3">
        <v>3.705885503132865</v>
      </c>
      <c r="Q79" s="19">
        <f>Coeficiente!$E$19*(Sheet1!M79-Coeficiente!$B$5)</f>
        <v>-0.1618175844708811</v>
      </c>
      <c r="R79" s="19">
        <f>Coeficiente!$E$21*(Sheet1!O79-Coeficiente!$B$6)</f>
        <v>1.474066724470198E-2</v>
      </c>
      <c r="S79" s="19">
        <f>Coeficiente!$E$20*(Sheet1!N79-Coeficiente!$B$7)</f>
        <v>5.9434977293437871E-2</v>
      </c>
      <c r="T79" s="19">
        <f>Coeficiente!$E$22*(Sheet1!P79-Coeficiente!$B$8)</f>
        <v>4.2636718197321684E-2</v>
      </c>
      <c r="U79" s="19">
        <f t="shared" si="6"/>
        <v>-4.500522173541955E-2</v>
      </c>
      <c r="V79" s="19">
        <f>Q79*I79</f>
        <v>-12.236645737688029</v>
      </c>
      <c r="W79" s="19">
        <f>R79*I79</f>
        <v>1.1146892570443638</v>
      </c>
      <c r="X79" s="19">
        <f>S79*I79</f>
        <v>4.4944729829297723</v>
      </c>
      <c r="Y79" s="19">
        <f>T79*I79</f>
        <v>3.2241886300814659</v>
      </c>
      <c r="Z79" s="19">
        <f t="shared" si="7"/>
        <v>-3.4032948676324262</v>
      </c>
      <c r="AA79" s="12">
        <f>Q79/J79</f>
        <v>-7.8552225471301505E-3</v>
      </c>
      <c r="AB79" s="13">
        <f>R79/J79</f>
        <v>7.1556637110203782E-4</v>
      </c>
      <c r="AC79" s="12">
        <f>S79/J79</f>
        <v>2.885193072496984E-3</v>
      </c>
      <c r="AD79" s="12">
        <f>T79/J79</f>
        <v>2.0697436018117321E-3</v>
      </c>
      <c r="AE79" s="19">
        <f>50*J79</f>
        <v>1030</v>
      </c>
      <c r="AF79" s="19">
        <f>70*J79</f>
        <v>1442</v>
      </c>
      <c r="AG79" s="19">
        <f>100*J79</f>
        <v>2060</v>
      </c>
      <c r="AH79" s="12">
        <f>(12*AE79)/L79</f>
        <v>0.23478013106657802</v>
      </c>
      <c r="AI79" s="12">
        <f>(12*AF79)/L79</f>
        <v>0.32869218349320922</v>
      </c>
      <c r="AJ79" s="15">
        <f>(12*AG79)/L79</f>
        <v>0.46956026213315605</v>
      </c>
      <c r="AK79" s="4">
        <v>1</v>
      </c>
      <c r="AL79" s="4" t="s">
        <v>302</v>
      </c>
    </row>
    <row r="80" spans="1:38" ht="15.75" thickBot="1" x14ac:dyDescent="0.3">
      <c r="A80" s="4" t="s">
        <v>195</v>
      </c>
      <c r="B80" s="4" t="s">
        <v>184</v>
      </c>
      <c r="C80" s="4" t="s">
        <v>185</v>
      </c>
      <c r="D80" s="4" t="s">
        <v>196</v>
      </c>
      <c r="E80" s="4">
        <v>29</v>
      </c>
      <c r="F80" s="4">
        <v>5994</v>
      </c>
      <c r="G80" s="4">
        <v>40.450634999999998</v>
      </c>
      <c r="H80" s="4">
        <v>-3.6558299999999999</v>
      </c>
      <c r="I80" s="4">
        <v>97.72</v>
      </c>
      <c r="J80" s="4">
        <v>20.5</v>
      </c>
      <c r="K80" s="3">
        <f t="shared" si="4"/>
        <v>2003.26</v>
      </c>
      <c r="L80" s="14">
        <v>71341</v>
      </c>
      <c r="M80" s="16">
        <f t="shared" si="5"/>
        <v>0.48381715048381718</v>
      </c>
      <c r="N80" s="5">
        <v>28260</v>
      </c>
      <c r="O80" s="4">
        <v>5.5090000000000003</v>
      </c>
      <c r="P80" s="3">
        <v>5.2806571484451386</v>
      </c>
      <c r="Q80" s="19">
        <f>Coeficiente!$E$19*(Sheet1!M80-Coeficiente!$B$5)</f>
        <v>-0.15447312259377138</v>
      </c>
      <c r="R80" s="19">
        <f>Coeficiente!$E$21*(Sheet1!O80-Coeficiente!$B$6)</f>
        <v>-0.30000104752947726</v>
      </c>
      <c r="S80" s="19">
        <f>Coeficiente!$E$20*(Sheet1!N80-Coeficiente!$B$7)</f>
        <v>1.2135745520810477</v>
      </c>
      <c r="T80" s="19">
        <f>Coeficiente!$E$22*(Sheet1!P80-Coeficiente!$B$8)</f>
        <v>0.30724461657927243</v>
      </c>
      <c r="U80" s="19">
        <f t="shared" si="6"/>
        <v>1.0663449985370714</v>
      </c>
      <c r="V80" s="19">
        <f>Q80*I80</f>
        <v>-15.095113539863339</v>
      </c>
      <c r="W80" s="19">
        <f>R80*I80</f>
        <v>-29.316102364580516</v>
      </c>
      <c r="X80" s="19">
        <f>S80*I80</f>
        <v>118.59050522935998</v>
      </c>
      <c r="Y80" s="19">
        <f>T80*I80</f>
        <v>30.023943932126503</v>
      </c>
      <c r="Z80" s="19">
        <f t="shared" si="7"/>
        <v>104.20323325704261</v>
      </c>
      <c r="AA80" s="12">
        <f>Q80/J80</f>
        <v>-7.5352742728668964E-3</v>
      </c>
      <c r="AB80" s="13">
        <f>R80/J80</f>
        <v>-1.4634197440462305E-2</v>
      </c>
      <c r="AC80" s="12">
        <f>S80/J80</f>
        <v>5.919875863809989E-2</v>
      </c>
      <c r="AD80" s="12">
        <f>T80/J80</f>
        <v>1.4987542272159631E-2</v>
      </c>
      <c r="AE80" s="19">
        <f>50*J80</f>
        <v>1025</v>
      </c>
      <c r="AF80" s="19">
        <f>70*J80</f>
        <v>1435</v>
      </c>
      <c r="AG80" s="19">
        <f>100*J80</f>
        <v>2050</v>
      </c>
      <c r="AH80" s="12">
        <f>(12*AE80)/L80</f>
        <v>0.17241137634740192</v>
      </c>
      <c r="AI80" s="12">
        <f>(12*AF80)/L80</f>
        <v>0.24137592688636267</v>
      </c>
      <c r="AJ80" s="15">
        <f>(12*AG80)/L80</f>
        <v>0.34482275269480384</v>
      </c>
      <c r="AK80" s="4">
        <v>1</v>
      </c>
      <c r="AL80" s="4" t="s">
        <v>302</v>
      </c>
    </row>
    <row r="81" spans="1:38" ht="15.75" thickBot="1" x14ac:dyDescent="0.3">
      <c r="A81" s="4" t="s">
        <v>197</v>
      </c>
      <c r="B81" s="4" t="s">
        <v>184</v>
      </c>
      <c r="C81" s="4" t="s">
        <v>185</v>
      </c>
      <c r="D81" s="4" t="s">
        <v>198</v>
      </c>
      <c r="E81" s="4">
        <v>23</v>
      </c>
      <c r="F81" s="4">
        <v>3192</v>
      </c>
      <c r="G81" s="4">
        <v>40.458163999999996</v>
      </c>
      <c r="H81" s="4">
        <v>-3.659767</v>
      </c>
      <c r="I81" s="4">
        <v>98.39</v>
      </c>
      <c r="J81" s="4">
        <v>22.4</v>
      </c>
      <c r="K81" s="3">
        <f t="shared" si="4"/>
        <v>2203.9359999999997</v>
      </c>
      <c r="L81" s="14">
        <v>67412</v>
      </c>
      <c r="M81" s="16">
        <f t="shared" si="5"/>
        <v>0.72055137844611528</v>
      </c>
      <c r="N81" s="5">
        <v>27706</v>
      </c>
      <c r="O81" s="4">
        <v>5.891</v>
      </c>
      <c r="P81" s="3">
        <v>3.6026608864638612</v>
      </c>
      <c r="Q81" s="19">
        <f>Coeficiente!$E$19*(Sheet1!M81-Coeficiente!$B$5)</f>
        <v>-0.12737369948316099</v>
      </c>
      <c r="R81" s="19">
        <f>Coeficiente!$E$21*(Sheet1!O81-Coeficiente!$B$6)</f>
        <v>-0.60208982904640229</v>
      </c>
      <c r="S81" s="19">
        <f>Coeficiente!$E$20*(Sheet1!N81-Coeficiente!$B$7)</f>
        <v>1.1057692368842282</v>
      </c>
      <c r="T81" s="19">
        <f>Coeficiente!$E$22*(Sheet1!P81-Coeficiente!$B$8)</f>
        <v>2.5291950173732283E-2</v>
      </c>
      <c r="U81" s="19">
        <f t="shared" si="6"/>
        <v>0.40159765852839718</v>
      </c>
      <c r="V81" s="19">
        <f>Q81*I81</f>
        <v>-12.53229829214821</v>
      </c>
      <c r="W81" s="19">
        <f>R81*I81</f>
        <v>-59.239618279875522</v>
      </c>
      <c r="X81" s="19">
        <f>S81*I81</f>
        <v>108.79663521703921</v>
      </c>
      <c r="Y81" s="19">
        <f>T81*I81</f>
        <v>2.4884749775935191</v>
      </c>
      <c r="Z81" s="19">
        <f t="shared" si="7"/>
        <v>39.513193622609002</v>
      </c>
      <c r="AA81" s="12">
        <f>Q81/J81</f>
        <v>-5.686325869783973E-3</v>
      </c>
      <c r="AB81" s="13">
        <f>R81/J81</f>
        <v>-2.687901022528582E-2</v>
      </c>
      <c r="AC81" s="12">
        <f>S81/J81</f>
        <v>4.9364698075188763E-2</v>
      </c>
      <c r="AD81" s="12">
        <f>T81/J81</f>
        <v>1.1291049184701913E-3</v>
      </c>
      <c r="AE81" s="19">
        <f>50*J81</f>
        <v>1120</v>
      </c>
      <c r="AF81" s="19">
        <f>70*J81</f>
        <v>1568</v>
      </c>
      <c r="AG81" s="19">
        <f>100*J81</f>
        <v>2240</v>
      </c>
      <c r="AH81" s="12">
        <f>(12*AE81)/L81</f>
        <v>0.19937103186376312</v>
      </c>
      <c r="AI81" s="12">
        <f>(12*AF81)/L81</f>
        <v>0.27911944460926835</v>
      </c>
      <c r="AJ81" s="15">
        <f>(12*AG81)/L81</f>
        <v>0.39874206372752624</v>
      </c>
      <c r="AK81" s="4">
        <v>0</v>
      </c>
      <c r="AL81" s="4" t="s">
        <v>301</v>
      </c>
    </row>
    <row r="82" spans="1:38" ht="15.75" thickBot="1" x14ac:dyDescent="0.3">
      <c r="A82" s="4" t="s">
        <v>199</v>
      </c>
      <c r="B82" s="4" t="s">
        <v>184</v>
      </c>
      <c r="C82" s="4" t="s">
        <v>185</v>
      </c>
      <c r="D82" s="4" t="s">
        <v>200</v>
      </c>
      <c r="E82" s="4">
        <v>30</v>
      </c>
      <c r="F82" s="4">
        <v>9487</v>
      </c>
      <c r="G82" s="4">
        <v>40.475385000000003</v>
      </c>
      <c r="H82" s="4">
        <v>-3.669867</v>
      </c>
      <c r="I82" s="4">
        <v>107.54</v>
      </c>
      <c r="J82" s="4">
        <v>18.8</v>
      </c>
      <c r="K82" s="3">
        <f t="shared" si="4"/>
        <v>2021.7520000000002</v>
      </c>
      <c r="L82" s="14">
        <v>79297</v>
      </c>
      <c r="M82" s="16">
        <f t="shared" si="5"/>
        <v>0.31622219879835561</v>
      </c>
      <c r="N82" s="5">
        <v>29377</v>
      </c>
      <c r="O82" s="4">
        <v>7.0869999999999997</v>
      </c>
      <c r="P82" s="3">
        <v>1.7415692217221179</v>
      </c>
      <c r="Q82" s="19">
        <f>Coeficiente!$E$19*(Sheet1!M82-Coeficiente!$B$5)</f>
        <v>-0.17365803956171377</v>
      </c>
      <c r="R82" s="19">
        <f>Coeficiente!$E$21*(Sheet1!O82-Coeficiente!$B$6)</f>
        <v>-1.547896590026095</v>
      </c>
      <c r="S82" s="19">
        <f>Coeficiente!$E$20*(Sheet1!N82-Coeficiente!$B$7)</f>
        <v>1.4309365323605554</v>
      </c>
      <c r="T82" s="19">
        <f>Coeficiente!$E$22*(Sheet1!P82-Coeficiente!$B$8)</f>
        <v>-0.28742612267791928</v>
      </c>
      <c r="U82" s="19">
        <f t="shared" si="6"/>
        <v>-0.57804421990517274</v>
      </c>
      <c r="V82" s="19">
        <f>Q82*I82</f>
        <v>-18.675185574466699</v>
      </c>
      <c r="W82" s="19">
        <f>R82*I82</f>
        <v>-166.46079929140626</v>
      </c>
      <c r="X82" s="19">
        <f>S82*I82</f>
        <v>153.88291469005415</v>
      </c>
      <c r="Y82" s="19">
        <f>T82*I82</f>
        <v>-30.909805232783441</v>
      </c>
      <c r="Z82" s="19">
        <f t="shared" si="7"/>
        <v>-62.162875408602247</v>
      </c>
      <c r="AA82" s="12">
        <f>Q82/J82</f>
        <v>-9.2371297639209458E-3</v>
      </c>
      <c r="AB82" s="13">
        <f>R82/J82</f>
        <v>-8.2334925001388032E-2</v>
      </c>
      <c r="AC82" s="12">
        <f>S82/J82</f>
        <v>7.6113645338327415E-2</v>
      </c>
      <c r="AD82" s="12">
        <f>T82/J82</f>
        <v>-1.5288623546697834E-2</v>
      </c>
      <c r="AE82" s="19">
        <f>50*J82</f>
        <v>940</v>
      </c>
      <c r="AF82" s="19">
        <f>70*J82</f>
        <v>1316</v>
      </c>
      <c r="AG82" s="19">
        <f>100*J82</f>
        <v>1880</v>
      </c>
      <c r="AH82" s="12">
        <f>(12*AE82)/L82</f>
        <v>0.14225002206893073</v>
      </c>
      <c r="AI82" s="12">
        <f>(12*AF82)/L82</f>
        <v>0.19915003089650302</v>
      </c>
      <c r="AJ82" s="15">
        <f>(12*AG82)/L82</f>
        <v>0.28450004413786145</v>
      </c>
      <c r="AK82" s="4">
        <v>1</v>
      </c>
      <c r="AL82" s="4" t="s">
        <v>302</v>
      </c>
    </row>
    <row r="83" spans="1:38" ht="15.75" thickBot="1" x14ac:dyDescent="0.3">
      <c r="A83" s="4" t="s">
        <v>201</v>
      </c>
      <c r="B83" s="4" t="s">
        <v>202</v>
      </c>
      <c r="C83" s="4" t="s">
        <v>203</v>
      </c>
      <c r="D83" s="4" t="s">
        <v>204</v>
      </c>
      <c r="E83" s="4">
        <v>5</v>
      </c>
      <c r="F83" s="4">
        <v>2702</v>
      </c>
      <c r="G83" s="4">
        <v>40.454008000000002</v>
      </c>
      <c r="H83" s="4">
        <v>-3.6161729999999999</v>
      </c>
      <c r="I83" s="4">
        <v>169.32</v>
      </c>
      <c r="J83" s="4">
        <v>16.7</v>
      </c>
      <c r="K83" s="3">
        <f t="shared" si="4"/>
        <v>2827.6439999999998</v>
      </c>
      <c r="L83" s="14">
        <v>98118</v>
      </c>
      <c r="M83" s="16">
        <f t="shared" si="5"/>
        <v>0.1850481125092524</v>
      </c>
      <c r="N83" s="5">
        <v>34774</v>
      </c>
      <c r="O83" s="4">
        <v>8.4749999999999996</v>
      </c>
      <c r="P83" s="3">
        <v>1.3773314203730269</v>
      </c>
      <c r="Q83" s="19">
        <f>Coeficiente!$E$19*(Sheet1!M83-Coeficiente!$B$5)</f>
        <v>-0.18867378990797229</v>
      </c>
      <c r="R83" s="19">
        <f>Coeficiente!$E$21*(Sheet1!O83-Coeficiente!$B$6)</f>
        <v>-2.6455385500928288</v>
      </c>
      <c r="S83" s="19">
        <f>Coeficiente!$E$20*(Sheet1!N83-Coeficiente!$B$7)</f>
        <v>2.48116268058661</v>
      </c>
      <c r="T83" s="19">
        <f>Coeficiente!$E$22*(Sheet1!P83-Coeficiente!$B$8)</f>
        <v>-0.34862877349598981</v>
      </c>
      <c r="U83" s="19">
        <f t="shared" si="6"/>
        <v>-0.70167843291018106</v>
      </c>
      <c r="V83" s="19">
        <f>Q83*I83</f>
        <v>-31.946246107217867</v>
      </c>
      <c r="W83" s="19">
        <f>R83*I83</f>
        <v>-447.94258730171777</v>
      </c>
      <c r="X83" s="19">
        <f>S83*I83</f>
        <v>420.11046507692481</v>
      </c>
      <c r="Y83" s="19">
        <f>T83*I83</f>
        <v>-59.029823928340988</v>
      </c>
      <c r="Z83" s="19">
        <f t="shared" si="7"/>
        <v>-118.8081922603518</v>
      </c>
      <c r="AA83" s="12">
        <f>Q83/J83</f>
        <v>-1.1297831731016306E-2</v>
      </c>
      <c r="AB83" s="13">
        <f>R83/J83</f>
        <v>-0.15841548204148675</v>
      </c>
      <c r="AC83" s="12">
        <f>S83/J83</f>
        <v>0.14857261560398863</v>
      </c>
      <c r="AD83" s="12">
        <f>T83/J83</f>
        <v>-2.0875974460837714E-2</v>
      </c>
      <c r="AE83" s="19">
        <f>50*J83</f>
        <v>835</v>
      </c>
      <c r="AF83" s="19">
        <f>70*J83</f>
        <v>1169</v>
      </c>
      <c r="AG83" s="19">
        <f>100*J83</f>
        <v>1670</v>
      </c>
      <c r="AH83" s="12">
        <f>(12*AE83)/L83</f>
        <v>0.10212193481318413</v>
      </c>
      <c r="AI83" s="12">
        <f>(12*AF83)/L83</f>
        <v>0.14297070873845777</v>
      </c>
      <c r="AJ83" s="15">
        <f>(12*AG83)/L83</f>
        <v>0.20424386962636826</v>
      </c>
      <c r="AK83" s="4">
        <v>1</v>
      </c>
      <c r="AL83" s="4" t="s">
        <v>302</v>
      </c>
    </row>
    <row r="84" spans="1:38" ht="15.75" thickBot="1" x14ac:dyDescent="0.3">
      <c r="A84" s="4" t="s">
        <v>205</v>
      </c>
      <c r="B84" s="4" t="s">
        <v>202</v>
      </c>
      <c r="C84" s="4" t="s">
        <v>203</v>
      </c>
      <c r="D84" s="4" t="s">
        <v>206</v>
      </c>
      <c r="E84" s="4">
        <v>31</v>
      </c>
      <c r="F84" s="4">
        <v>5562</v>
      </c>
      <c r="G84" s="4">
        <v>40.455615000000002</v>
      </c>
      <c r="H84" s="4">
        <v>-3.6362890000000001</v>
      </c>
      <c r="I84" s="4">
        <v>171.41</v>
      </c>
      <c r="J84" s="4">
        <v>19.100000000000001</v>
      </c>
      <c r="K84" s="3">
        <f t="shared" si="4"/>
        <v>3273.931</v>
      </c>
      <c r="L84" s="14">
        <v>98575</v>
      </c>
      <c r="M84" s="16">
        <f t="shared" si="5"/>
        <v>0.55735346997482926</v>
      </c>
      <c r="N84" s="5">
        <v>34949</v>
      </c>
      <c r="O84" s="4">
        <v>7.1379999999999999</v>
      </c>
      <c r="P84" s="3">
        <v>2.7151101783840499</v>
      </c>
      <c r="Q84" s="19">
        <f>Coeficiente!$E$19*(Sheet1!M84-Coeficiente!$B$5)</f>
        <v>-0.14605527844408075</v>
      </c>
      <c r="R84" s="19">
        <f>Coeficiente!$E$21*(Sheet1!O84-Coeficiente!$B$6)</f>
        <v>-1.5882278147835904</v>
      </c>
      <c r="S84" s="19">
        <f>Coeficiente!$E$20*(Sheet1!N84-Coeficiente!$B$7)</f>
        <v>2.5152167061451722</v>
      </c>
      <c r="T84" s="19">
        <f>Coeficiente!$E$22*(Sheet1!P84-Coeficiente!$B$8)</f>
        <v>-0.12384264230608111</v>
      </c>
      <c r="U84" s="19">
        <f t="shared" si="6"/>
        <v>0.65709097061141997</v>
      </c>
      <c r="V84" s="19">
        <f>Q84*I84</f>
        <v>-25.035335278099883</v>
      </c>
      <c r="W84" s="19">
        <f>R84*I84</f>
        <v>-272.23812973205526</v>
      </c>
      <c r="X84" s="19">
        <f>S84*I84</f>
        <v>431.13329560034396</v>
      </c>
      <c r="Y84" s="19">
        <f>T84*I84</f>
        <v>-21.227867317685362</v>
      </c>
      <c r="Z84" s="19">
        <f t="shared" si="7"/>
        <v>112.63196327250347</v>
      </c>
      <c r="AA84" s="12">
        <f>Q84/J84</f>
        <v>-7.6468732169675778E-3</v>
      </c>
      <c r="AB84" s="13">
        <f>R84/J84</f>
        <v>-8.3153288732125144E-2</v>
      </c>
      <c r="AC84" s="12">
        <f>S84/J84</f>
        <v>0.13168673854163204</v>
      </c>
      <c r="AD84" s="12">
        <f>T84/J84</f>
        <v>-6.4839079741403714E-3</v>
      </c>
      <c r="AE84" s="19">
        <f>50*J84</f>
        <v>955.00000000000011</v>
      </c>
      <c r="AF84" s="19">
        <f>70*J84</f>
        <v>1337</v>
      </c>
      <c r="AG84" s="19">
        <f>100*J84</f>
        <v>1910.0000000000002</v>
      </c>
      <c r="AH84" s="12">
        <f>(12*AE84)/L84</f>
        <v>0.11625665736748671</v>
      </c>
      <c r="AI84" s="12">
        <f>(12*AF84)/L84</f>
        <v>0.16275932031448137</v>
      </c>
      <c r="AJ84" s="15">
        <f>(12*AG84)/L84</f>
        <v>0.23251331473497341</v>
      </c>
      <c r="AK84" s="4">
        <v>1</v>
      </c>
      <c r="AL84" s="4" t="s">
        <v>302</v>
      </c>
    </row>
    <row r="85" spans="1:38" ht="15.75" thickBot="1" x14ac:dyDescent="0.3">
      <c r="A85" s="4" t="s">
        <v>207</v>
      </c>
      <c r="B85" s="4" t="s">
        <v>202</v>
      </c>
      <c r="C85" s="4" t="s">
        <v>203</v>
      </c>
      <c r="D85" s="4" t="s">
        <v>208</v>
      </c>
      <c r="E85" s="4">
        <v>138</v>
      </c>
      <c r="F85" s="4">
        <v>18334</v>
      </c>
      <c r="G85" s="4">
        <v>40.462995999999997</v>
      </c>
      <c r="H85" s="4">
        <v>-3.6416490000000001</v>
      </c>
      <c r="I85" s="4">
        <v>80.64</v>
      </c>
      <c r="J85" s="4">
        <v>18.899999999999999</v>
      </c>
      <c r="K85" s="3">
        <f t="shared" si="4"/>
        <v>1524.096</v>
      </c>
      <c r="L85" s="14">
        <v>49140</v>
      </c>
      <c r="M85" s="16">
        <f t="shared" si="5"/>
        <v>0.75269990182175195</v>
      </c>
      <c r="N85" s="5">
        <v>19994</v>
      </c>
      <c r="O85" s="4">
        <v>7.3259999999999996</v>
      </c>
      <c r="P85" s="3">
        <v>1.6303941365642061</v>
      </c>
      <c r="Q85" s="19">
        <f>Coeficiente!$E$19*(Sheet1!M85-Coeficiente!$B$5)</f>
        <v>-0.12369359608266552</v>
      </c>
      <c r="R85" s="19">
        <f>Coeficiente!$E$21*(Sheet1!O85-Coeficiente!$B$6)</f>
        <v>-1.736899780556318</v>
      </c>
      <c r="S85" s="19">
        <f>Coeficiente!$E$20*(Sheet1!N85-Coeficiente!$B$7)</f>
        <v>-0.39494302087366195</v>
      </c>
      <c r="T85" s="19">
        <f>Coeficiente!$E$22*(Sheet1!P85-Coeficiente!$B$8)</f>
        <v>-0.30610680296806764</v>
      </c>
      <c r="U85" s="19">
        <f t="shared" si="6"/>
        <v>-2.561643200480713</v>
      </c>
      <c r="V85" s="19">
        <f>Q85*I85</f>
        <v>-9.9746515881061466</v>
      </c>
      <c r="W85" s="19">
        <f>R85*I85</f>
        <v>-140.06359830406149</v>
      </c>
      <c r="X85" s="19">
        <f>S85*I85</f>
        <v>-31.8482052032521</v>
      </c>
      <c r="Y85" s="19">
        <f>T85*I85</f>
        <v>-24.684452591344975</v>
      </c>
      <c r="Z85" s="19">
        <f t="shared" si="7"/>
        <v>-206.57090768676471</v>
      </c>
      <c r="AA85" s="12">
        <f>Q85/J85</f>
        <v>-6.5446347133685462E-3</v>
      </c>
      <c r="AB85" s="13">
        <f>R85/J85</f>
        <v>-9.1899459288694085E-2</v>
      </c>
      <c r="AC85" s="12">
        <f>S85/J85</f>
        <v>-2.0896456130881588E-2</v>
      </c>
      <c r="AD85" s="12">
        <f>T85/J85</f>
        <v>-1.61961271411676E-2</v>
      </c>
      <c r="AE85" s="19">
        <f>50*J85</f>
        <v>944.99999999999989</v>
      </c>
      <c r="AF85" s="19">
        <f>70*J85</f>
        <v>1323</v>
      </c>
      <c r="AG85" s="19">
        <f>100*J85</f>
        <v>1889.9999999999998</v>
      </c>
      <c r="AH85" s="12">
        <f>(12*AE85)/L85</f>
        <v>0.23076923076923073</v>
      </c>
      <c r="AI85" s="12">
        <f>(12*AF85)/L85</f>
        <v>0.32307692307692309</v>
      </c>
      <c r="AJ85" s="15">
        <f>(12*AG85)/L85</f>
        <v>0.46153846153846145</v>
      </c>
      <c r="AK85" s="4">
        <v>1</v>
      </c>
      <c r="AL85" s="4" t="s">
        <v>302</v>
      </c>
    </row>
    <row r="86" spans="1:38" ht="15.75" thickBot="1" x14ac:dyDescent="0.3">
      <c r="A86" s="4" t="s">
        <v>209</v>
      </c>
      <c r="B86" s="4" t="s">
        <v>202</v>
      </c>
      <c r="C86" s="4" t="s">
        <v>203</v>
      </c>
      <c r="D86" s="4" t="s">
        <v>210</v>
      </c>
      <c r="E86" s="4">
        <v>131</v>
      </c>
      <c r="F86" s="4">
        <v>24296</v>
      </c>
      <c r="G86" s="4">
        <v>40.471775999999998</v>
      </c>
      <c r="H86" s="4">
        <v>-3.6443409999999998</v>
      </c>
      <c r="I86" s="4">
        <v>68.52</v>
      </c>
      <c r="J86" s="4">
        <v>20.399999999999999</v>
      </c>
      <c r="K86" s="3">
        <f t="shared" si="4"/>
        <v>1397.8079999999998</v>
      </c>
      <c r="L86" s="14">
        <v>41018</v>
      </c>
      <c r="M86" s="16">
        <f t="shared" si="5"/>
        <v>0.53918340467566683</v>
      </c>
      <c r="N86" s="5">
        <v>16824</v>
      </c>
      <c r="O86" s="4">
        <v>7.8890000000000002</v>
      </c>
      <c r="P86" s="3">
        <v>2.4339307411907649</v>
      </c>
      <c r="Q86" s="19">
        <f>Coeficiente!$E$19*(Sheet1!M86-Coeficiente!$B$5)</f>
        <v>-0.148135240820995</v>
      </c>
      <c r="R86" s="19">
        <f>Coeficiente!$E$21*(Sheet1!O86-Coeficiente!$B$6)</f>
        <v>-2.1821248695459232</v>
      </c>
      <c r="S86" s="19">
        <f>Coeficiente!$E$20*(Sheet1!N86-Coeficiente!$B$7)</f>
        <v>-1.0118073695630436</v>
      </c>
      <c r="T86" s="19">
        <f>Coeficiente!$E$22*(Sheet1!P86-Coeficiente!$B$8)</f>
        <v>-0.17108904794553562</v>
      </c>
      <c r="U86" s="19">
        <f t="shared" si="6"/>
        <v>-3.5131565278754975</v>
      </c>
      <c r="V86" s="19">
        <f>Q86*I86</f>
        <v>-10.150226701054576</v>
      </c>
      <c r="W86" s="19">
        <f>R86*I86</f>
        <v>-149.51919606128666</v>
      </c>
      <c r="X86" s="19">
        <f>S86*I86</f>
        <v>-69.329040962459743</v>
      </c>
      <c r="Y86" s="19">
        <f>T86*I86</f>
        <v>-11.7230215652281</v>
      </c>
      <c r="Z86" s="19">
        <f t="shared" si="7"/>
        <v>-240.72148529002908</v>
      </c>
      <c r="AA86" s="12">
        <f>Q86/J86</f>
        <v>-7.2615314127938728E-3</v>
      </c>
      <c r="AB86" s="13">
        <f>R86/J86</f>
        <v>-0.10696690536989821</v>
      </c>
      <c r="AC86" s="12">
        <f>S86/J86</f>
        <v>-4.959840046877665E-2</v>
      </c>
      <c r="AD86" s="12">
        <f>T86/J86</f>
        <v>-8.3867180365458649E-3</v>
      </c>
      <c r="AE86" s="19">
        <f>50*J86</f>
        <v>1019.9999999999999</v>
      </c>
      <c r="AF86" s="19">
        <f>70*J86</f>
        <v>1428</v>
      </c>
      <c r="AG86" s="19">
        <f>100*J86</f>
        <v>2039.9999999999998</v>
      </c>
      <c r="AH86" s="12">
        <f>(12*AE86)/L86</f>
        <v>0.29840557803890971</v>
      </c>
      <c r="AI86" s="12">
        <f>(12*AF86)/L86</f>
        <v>0.41776780925447365</v>
      </c>
      <c r="AJ86" s="15">
        <f>(12*AG86)/L86</f>
        <v>0.59681115607781943</v>
      </c>
      <c r="AK86" s="4">
        <v>1</v>
      </c>
      <c r="AL86" s="4" t="s">
        <v>302</v>
      </c>
    </row>
    <row r="87" spans="1:38" ht="15.75" thickBot="1" x14ac:dyDescent="0.3">
      <c r="A87" s="4" t="s">
        <v>211</v>
      </c>
      <c r="B87" s="4" t="s">
        <v>202</v>
      </c>
      <c r="C87" s="4" t="s">
        <v>203</v>
      </c>
      <c r="D87" s="4" t="s">
        <v>212</v>
      </c>
      <c r="E87" s="4">
        <v>146</v>
      </c>
      <c r="F87" s="4">
        <v>28830</v>
      </c>
      <c r="G87" s="4">
        <v>40.490834</v>
      </c>
      <c r="H87" s="4">
        <v>-3.6369929999999999</v>
      </c>
      <c r="I87" s="4">
        <v>117.47</v>
      </c>
      <c r="J87" s="4">
        <v>19</v>
      </c>
      <c r="K87" s="3">
        <f t="shared" si="4"/>
        <v>2231.9299999999998</v>
      </c>
      <c r="L87" s="14">
        <v>71662</v>
      </c>
      <c r="M87" s="16">
        <f t="shared" si="5"/>
        <v>0.50641692681234818</v>
      </c>
      <c r="N87" s="5">
        <v>25293</v>
      </c>
      <c r="O87" s="4">
        <v>9.9550000000000001</v>
      </c>
      <c r="P87" s="3">
        <v>5.5351746433340363</v>
      </c>
      <c r="Q87" s="19">
        <f>Coeficiente!$E$19*(Sheet1!M87-Coeficiente!$B$5)</f>
        <v>-0.15188608266209935</v>
      </c>
      <c r="R87" s="19">
        <f>Coeficiente!$E$21*(Sheet1!O87-Coeficiente!$B$6)</f>
        <v>-3.8159348763887704</v>
      </c>
      <c r="S87" s="19">
        <f>Coeficiente!$E$20*(Sheet1!N87-Coeficiente!$B$7)</f>
        <v>0.63621287303959795</v>
      </c>
      <c r="T87" s="19">
        <f>Coeficiente!$E$22*(Sheet1!P87-Coeficiente!$B$8)</f>
        <v>0.35001103266535538</v>
      </c>
      <c r="U87" s="19">
        <f t="shared" si="6"/>
        <v>-2.981597053345916</v>
      </c>
      <c r="V87" s="19">
        <f>Q87*I87</f>
        <v>-17.842058130316811</v>
      </c>
      <c r="W87" s="19">
        <f>R87*I87</f>
        <v>-448.25786992938885</v>
      </c>
      <c r="X87" s="19">
        <f>S87*I87</f>
        <v>74.735926195961568</v>
      </c>
      <c r="Y87" s="19">
        <f>T87*I87</f>
        <v>41.115796007199293</v>
      </c>
      <c r="Z87" s="19">
        <f t="shared" si="7"/>
        <v>-350.24820585654481</v>
      </c>
      <c r="AA87" s="12">
        <f>Q87/J87</f>
        <v>-7.9940043506368085E-3</v>
      </c>
      <c r="AB87" s="13">
        <f>R87/J87</f>
        <v>-0.20083867770467212</v>
      </c>
      <c r="AC87" s="12">
        <f>S87/J87</f>
        <v>3.3484888054715681E-2</v>
      </c>
      <c r="AD87" s="12">
        <f>T87/J87</f>
        <v>1.8421633298176598E-2</v>
      </c>
      <c r="AE87" s="19">
        <f>50*J87</f>
        <v>950</v>
      </c>
      <c r="AF87" s="19">
        <f>70*J87</f>
        <v>1330</v>
      </c>
      <c r="AG87" s="19">
        <f>100*J87</f>
        <v>1900</v>
      </c>
      <c r="AH87" s="12">
        <f>(12*AE87)/L87</f>
        <v>0.15908012614774916</v>
      </c>
      <c r="AI87" s="12">
        <f>(12*AF87)/L87</f>
        <v>0.22271217660684881</v>
      </c>
      <c r="AJ87" s="15">
        <f>(12*AG87)/L87</f>
        <v>0.31816025229549832</v>
      </c>
      <c r="AK87" s="4">
        <v>1</v>
      </c>
      <c r="AL87" s="4" t="s">
        <v>302</v>
      </c>
    </row>
    <row r="88" spans="1:38" ht="15.75" thickBot="1" x14ac:dyDescent="0.3">
      <c r="A88" s="4" t="s">
        <v>213</v>
      </c>
      <c r="B88" s="4" t="s">
        <v>214</v>
      </c>
      <c r="C88" s="4" t="s">
        <v>215</v>
      </c>
      <c r="D88" s="4" t="s">
        <v>216</v>
      </c>
      <c r="E88" s="4">
        <v>97</v>
      </c>
      <c r="F88" s="4">
        <v>18542</v>
      </c>
      <c r="G88" s="4">
        <v>40.343037000000002</v>
      </c>
      <c r="H88" s="4">
        <v>-3.7083550000000001</v>
      </c>
      <c r="I88" s="4">
        <v>68.069999999999993</v>
      </c>
      <c r="J88" s="4">
        <v>20</v>
      </c>
      <c r="K88" s="3">
        <f t="shared" si="4"/>
        <v>1361.3999999999999</v>
      </c>
      <c r="L88" s="14">
        <v>33273</v>
      </c>
      <c r="M88" s="16">
        <f t="shared" si="5"/>
        <v>0.52313666271168158</v>
      </c>
      <c r="N88" s="5">
        <v>11511</v>
      </c>
      <c r="O88" s="4">
        <v>8.2140000000000004</v>
      </c>
      <c r="P88" s="3">
        <v>4.9937298002711987</v>
      </c>
      <c r="Q88" s="19">
        <f>Coeficiente!$E$19*(Sheet1!M88-Coeficiente!$B$5)</f>
        <v>-0.14997214228544262</v>
      </c>
      <c r="R88" s="19">
        <f>Coeficiente!$E$21*(Sheet1!O88-Coeficiente!$B$6)</f>
        <v>-2.4391375763338834</v>
      </c>
      <c r="S88" s="19">
        <f>Coeficiente!$E$20*(Sheet1!N88-Coeficiente!$B$7)</f>
        <v>-2.0456875855209886</v>
      </c>
      <c r="T88" s="19">
        <f>Coeficiente!$E$22*(Sheet1!P88-Coeficiente!$B$8)</f>
        <v>0.25903239303904158</v>
      </c>
      <c r="U88" s="19">
        <f t="shared" si="6"/>
        <v>-4.3757649111012729</v>
      </c>
      <c r="V88" s="19">
        <f>Q88*I88</f>
        <v>-10.208603725370079</v>
      </c>
      <c r="W88" s="19">
        <f>R88*I88</f>
        <v>-166.03209482104742</v>
      </c>
      <c r="X88" s="19">
        <f>S88*I88</f>
        <v>-139.24995394641368</v>
      </c>
      <c r="Y88" s="19">
        <f>T88*I88</f>
        <v>17.632334994167557</v>
      </c>
      <c r="Z88" s="19">
        <f t="shared" si="7"/>
        <v>-297.85831749866361</v>
      </c>
      <c r="AA88" s="12">
        <f>Q88/J88</f>
        <v>-7.4986071142721308E-3</v>
      </c>
      <c r="AB88" s="13">
        <f>R88/J88</f>
        <v>-0.12195687881669418</v>
      </c>
      <c r="AC88" s="12">
        <f>S88/J88</f>
        <v>-0.10228437927604943</v>
      </c>
      <c r="AD88" s="12">
        <f>T88/J88</f>
        <v>1.2951619651952078E-2</v>
      </c>
      <c r="AE88" s="19">
        <f>50*J88</f>
        <v>1000</v>
      </c>
      <c r="AF88" s="19">
        <f>70*J88</f>
        <v>1400</v>
      </c>
      <c r="AG88" s="19">
        <f>100*J88</f>
        <v>2000</v>
      </c>
      <c r="AH88" s="12">
        <f>(12*AE88)/L88</f>
        <v>0.36065278153457758</v>
      </c>
      <c r="AI88" s="12">
        <f>(12*AF88)/L88</f>
        <v>0.50491389414840859</v>
      </c>
      <c r="AJ88" s="15">
        <f>(12*AG88)/L88</f>
        <v>0.72130556306915516</v>
      </c>
      <c r="AK88" s="4">
        <v>1</v>
      </c>
      <c r="AL88" s="4" t="s">
        <v>302</v>
      </c>
    </row>
    <row r="89" spans="1:38" ht="15.75" thickBot="1" x14ac:dyDescent="0.3">
      <c r="A89" s="4" t="s">
        <v>217</v>
      </c>
      <c r="B89" s="4" t="s">
        <v>214</v>
      </c>
      <c r="C89" s="4" t="s">
        <v>215</v>
      </c>
      <c r="D89" s="4" t="s">
        <v>218</v>
      </c>
      <c r="E89" s="4">
        <v>26</v>
      </c>
      <c r="F89" s="4">
        <v>8390</v>
      </c>
      <c r="G89" s="4">
        <v>40.340080999999998</v>
      </c>
      <c r="H89" s="4">
        <v>-3.6734010000000001</v>
      </c>
      <c r="I89" s="4">
        <v>74.38</v>
      </c>
      <c r="J89" s="4">
        <v>17.399999999999999</v>
      </c>
      <c r="K89" s="3">
        <f t="shared" si="4"/>
        <v>1294.2119999999998</v>
      </c>
      <c r="L89" s="14">
        <v>39054</v>
      </c>
      <c r="M89" s="16">
        <f t="shared" si="5"/>
        <v>0.30989272943980933</v>
      </c>
      <c r="N89" s="5">
        <v>13620</v>
      </c>
      <c r="O89" s="4">
        <v>8.907</v>
      </c>
      <c r="P89" s="3">
        <v>4.8476803002906781</v>
      </c>
      <c r="Q89" s="19">
        <f>Coeficiente!$E$19*(Sheet1!M89-Coeficiente!$B$5)</f>
        <v>-0.17438258611203433</v>
      </c>
      <c r="R89" s="19">
        <f>Coeficiente!$E$21*(Sheet1!O89-Coeficiente!$B$6)</f>
        <v>-2.9871677480386714</v>
      </c>
      <c r="S89" s="19">
        <f>Coeficiente!$E$20*(Sheet1!N89-Coeficiente!$B$7)</f>
        <v>-1.6352879289323747</v>
      </c>
      <c r="T89" s="19">
        <f>Coeficiente!$E$22*(Sheet1!P89-Coeficiente!$B$8)</f>
        <v>0.23449178655516187</v>
      </c>
      <c r="U89" s="19">
        <f t="shared" si="6"/>
        <v>-4.5623464765279191</v>
      </c>
      <c r="V89" s="19">
        <f>Q89*I89</f>
        <v>-12.970576755013113</v>
      </c>
      <c r="W89" s="19">
        <f>R89*I89</f>
        <v>-222.18553709911637</v>
      </c>
      <c r="X89" s="19">
        <f>S89*I89</f>
        <v>-121.63271615399003</v>
      </c>
      <c r="Y89" s="19">
        <f>T89*I89</f>
        <v>17.441499083972939</v>
      </c>
      <c r="Z89" s="19">
        <f t="shared" si="7"/>
        <v>-339.3473309241466</v>
      </c>
      <c r="AA89" s="12">
        <f>Q89/J89</f>
        <v>-1.002198770758818E-2</v>
      </c>
      <c r="AB89" s="13">
        <f>R89/J89</f>
        <v>-0.17167630735854433</v>
      </c>
      <c r="AC89" s="12">
        <f>S89/J89</f>
        <v>-9.3982064881170974E-2</v>
      </c>
      <c r="AD89" s="12">
        <f>T89/J89</f>
        <v>1.3476539457193211E-2</v>
      </c>
      <c r="AE89" s="19">
        <f>50*J89</f>
        <v>869.99999999999989</v>
      </c>
      <c r="AF89" s="19">
        <f>70*J89</f>
        <v>1218</v>
      </c>
      <c r="AG89" s="19">
        <f>100*J89</f>
        <v>1739.9999999999998</v>
      </c>
      <c r="AH89" s="12">
        <f>(12*AE89)/L89</f>
        <v>0.26732216930404051</v>
      </c>
      <c r="AI89" s="12">
        <f>(12*AF89)/L89</f>
        <v>0.37425103702565676</v>
      </c>
      <c r="AJ89" s="15">
        <f>(12*AG89)/L89</f>
        <v>0.53464433860808103</v>
      </c>
      <c r="AK89" s="4">
        <v>1</v>
      </c>
      <c r="AL89" s="4" t="s">
        <v>302</v>
      </c>
    </row>
    <row r="90" spans="1:38" ht="15.75" thickBot="1" x14ac:dyDescent="0.3">
      <c r="A90" s="4" t="s">
        <v>219</v>
      </c>
      <c r="B90" s="4" t="s">
        <v>214</v>
      </c>
      <c r="C90" s="4" t="s">
        <v>215</v>
      </c>
      <c r="D90" s="4" t="s">
        <v>220</v>
      </c>
      <c r="E90" s="4">
        <v>46</v>
      </c>
      <c r="F90" s="4">
        <v>14550</v>
      </c>
      <c r="G90" s="4">
        <v>40.355313000000002</v>
      </c>
      <c r="H90" s="4">
        <v>-3.688463</v>
      </c>
      <c r="I90" s="4">
        <v>68.48</v>
      </c>
      <c r="J90" s="4">
        <v>15.5</v>
      </c>
      <c r="K90" s="3">
        <f t="shared" si="4"/>
        <v>1061.44</v>
      </c>
      <c r="L90" s="14">
        <v>36616</v>
      </c>
      <c r="M90" s="16">
        <f t="shared" si="5"/>
        <v>0.31615120274914088</v>
      </c>
      <c r="N90" s="5">
        <v>12703</v>
      </c>
      <c r="O90" s="4">
        <v>6.96</v>
      </c>
      <c r="P90" s="3">
        <v>4.7510844866763069</v>
      </c>
      <c r="Q90" s="19">
        <f>Coeficiente!$E$19*(Sheet1!M90-Coeficiente!$B$5)</f>
        <v>-0.17366616661623144</v>
      </c>
      <c r="R90" s="19">
        <f>Coeficiente!$E$21*(Sheet1!O90-Coeficiente!$B$6)</f>
        <v>-1.4474639322966463</v>
      </c>
      <c r="S90" s="19">
        <f>Coeficiente!$E$20*(Sheet1!N90-Coeficiente!$B$7)</f>
        <v>-1.81373102285924</v>
      </c>
      <c r="T90" s="19">
        <f>Coeficiente!$E$22*(Sheet1!P90-Coeficiente!$B$8)</f>
        <v>0.21826085217868921</v>
      </c>
      <c r="U90" s="19">
        <f t="shared" si="6"/>
        <v>-3.2166002695934282</v>
      </c>
      <c r="V90" s="19">
        <f>Q90*I90</f>
        <v>-11.89265908987953</v>
      </c>
      <c r="W90" s="19">
        <f>R90*I90</f>
        <v>-99.122330083674342</v>
      </c>
      <c r="X90" s="19">
        <f>S90*I90</f>
        <v>-124.20430044540076</v>
      </c>
      <c r="Y90" s="19">
        <f>T90*I90</f>
        <v>14.946503157196638</v>
      </c>
      <c r="Z90" s="19">
        <f t="shared" si="7"/>
        <v>-220.27278646175799</v>
      </c>
      <c r="AA90" s="12">
        <f>Q90/J90</f>
        <v>-1.1204268813950416E-2</v>
      </c>
      <c r="AB90" s="13">
        <f>R90/J90</f>
        <v>-9.3384769825590089E-2</v>
      </c>
      <c r="AC90" s="12">
        <f>S90/J90</f>
        <v>-0.11701490470059613</v>
      </c>
      <c r="AD90" s="12">
        <f>T90/J90</f>
        <v>1.4081345301850916E-2</v>
      </c>
      <c r="AE90" s="19">
        <f>50*J90</f>
        <v>775</v>
      </c>
      <c r="AF90" s="19">
        <f>70*J90</f>
        <v>1085</v>
      </c>
      <c r="AG90" s="19">
        <f>100*J90</f>
        <v>1550</v>
      </c>
      <c r="AH90" s="12">
        <f>(12*AE90)/L90</f>
        <v>0.25398732794406814</v>
      </c>
      <c r="AI90" s="12">
        <f>(12*AF90)/L90</f>
        <v>0.35558225912169544</v>
      </c>
      <c r="AJ90" s="15">
        <f>(12*AG90)/L90</f>
        <v>0.50797465588813628</v>
      </c>
      <c r="AK90" s="4">
        <v>1</v>
      </c>
      <c r="AL90" s="4" t="s">
        <v>302</v>
      </c>
    </row>
    <row r="91" spans="1:38" ht="15.75" thickBot="1" x14ac:dyDescent="0.3">
      <c r="A91" s="4" t="s">
        <v>221</v>
      </c>
      <c r="B91" s="4" t="s">
        <v>222</v>
      </c>
      <c r="C91" s="4" t="s">
        <v>223</v>
      </c>
      <c r="D91" s="4" t="s">
        <v>224</v>
      </c>
      <c r="E91" s="4">
        <v>74</v>
      </c>
      <c r="F91" s="4">
        <v>15125</v>
      </c>
      <c r="G91" s="4">
        <v>40.347579000000003</v>
      </c>
      <c r="H91" s="4">
        <v>-3.6153200000000001</v>
      </c>
      <c r="I91" s="4">
        <v>66.849999999999994</v>
      </c>
      <c r="J91" s="4">
        <v>17.399999999999999</v>
      </c>
      <c r="K91" s="3">
        <f t="shared" si="4"/>
        <v>1163.1899999999998</v>
      </c>
      <c r="L91" s="14">
        <v>32330</v>
      </c>
      <c r="M91" s="16">
        <f t="shared" si="5"/>
        <v>0.48925619834710748</v>
      </c>
      <c r="N91" s="5">
        <v>11951</v>
      </c>
      <c r="O91" s="4">
        <v>10.74</v>
      </c>
      <c r="P91" s="3">
        <v>3.8033519010691621</v>
      </c>
      <c r="Q91" s="19">
        <f>Coeficiente!$E$19*(Sheet1!M91-Coeficiente!$B$5)</f>
        <v>-0.15385050430728667</v>
      </c>
      <c r="R91" s="19">
        <f>Coeficiente!$E$21*(Sheet1!O91-Coeficiente!$B$6)</f>
        <v>-4.4367194143227664</v>
      </c>
      <c r="S91" s="19">
        <f>Coeficiente!$E$20*(Sheet1!N91-Coeficiente!$B$7)</f>
        <v>-1.9600660355451753</v>
      </c>
      <c r="T91" s="19">
        <f>Coeficiente!$E$22*(Sheet1!P91-Coeficiente!$B$8)</f>
        <v>5.9013936314979816E-2</v>
      </c>
      <c r="U91" s="19">
        <f t="shared" si="6"/>
        <v>-6.4916220178602488</v>
      </c>
      <c r="V91" s="19">
        <f>Q91*I91</f>
        <v>-10.284906212942113</v>
      </c>
      <c r="W91" s="19">
        <f>R91*I91</f>
        <v>-296.59469284747689</v>
      </c>
      <c r="X91" s="19">
        <f>S91*I91</f>
        <v>-131.03041447619495</v>
      </c>
      <c r="Y91" s="19">
        <f>T91*I91</f>
        <v>3.9450816426564002</v>
      </c>
      <c r="Z91" s="19">
        <f t="shared" si="7"/>
        <v>-433.96493189395756</v>
      </c>
      <c r="AA91" s="12">
        <f>Q91/J91</f>
        <v>-8.8419830061659006E-3</v>
      </c>
      <c r="AB91" s="13">
        <f>R91/J91</f>
        <v>-0.25498387438636588</v>
      </c>
      <c r="AC91" s="12">
        <f>S91/J91</f>
        <v>-0.11264747330719399</v>
      </c>
      <c r="AD91" s="12">
        <f>T91/J91</f>
        <v>3.3916055353436681E-3</v>
      </c>
      <c r="AE91" s="19">
        <f>50*J91</f>
        <v>869.99999999999989</v>
      </c>
      <c r="AF91" s="19">
        <f>70*J91</f>
        <v>1218</v>
      </c>
      <c r="AG91" s="19">
        <f>100*J91</f>
        <v>1739.9999999999998</v>
      </c>
      <c r="AH91" s="12">
        <f>(12*AE91)/L91</f>
        <v>0.32291988864831422</v>
      </c>
      <c r="AI91" s="12">
        <f>(12*AF91)/L91</f>
        <v>0.45208784410763997</v>
      </c>
      <c r="AJ91" s="15">
        <f>(12*AG91)/L91</f>
        <v>0.64583977729662845</v>
      </c>
      <c r="AK91" s="4">
        <v>1</v>
      </c>
      <c r="AL91" s="4" t="s">
        <v>302</v>
      </c>
    </row>
    <row r="92" spans="1:38" ht="15.75" thickBot="1" x14ac:dyDescent="0.3">
      <c r="A92" s="4" t="s">
        <v>225</v>
      </c>
      <c r="B92" s="4" t="s">
        <v>222</v>
      </c>
      <c r="C92" s="4" t="s">
        <v>223</v>
      </c>
      <c r="D92" s="4" t="s">
        <v>226</v>
      </c>
      <c r="E92" s="4">
        <v>21</v>
      </c>
      <c r="F92" s="4">
        <v>25423</v>
      </c>
      <c r="G92" s="4">
        <v>40.365797000000001</v>
      </c>
      <c r="H92" s="4">
        <v>-3.5998770000000002</v>
      </c>
      <c r="I92" s="4">
        <v>59.2</v>
      </c>
      <c r="J92" s="4">
        <v>17.3</v>
      </c>
      <c r="K92" s="3">
        <f t="shared" si="4"/>
        <v>1024.1600000000001</v>
      </c>
      <c r="L92" s="14">
        <v>42838</v>
      </c>
      <c r="M92" s="16">
        <f t="shared" si="5"/>
        <v>8.2602367934547463E-2</v>
      </c>
      <c r="N92" s="5">
        <v>16757</v>
      </c>
      <c r="O92" s="4">
        <v>10.47</v>
      </c>
      <c r="P92" s="3">
        <v>5.4427614198349072</v>
      </c>
      <c r="Q92" s="19">
        <f>Coeficiente!$E$19*(Sheet1!M92-Coeficiente!$B$5)</f>
        <v>-0.2004009516370045</v>
      </c>
      <c r="R92" s="19">
        <f>Coeficiente!$E$21*(Sheet1!O92-Coeficiente!$B$6)</f>
        <v>-4.2232011656066151</v>
      </c>
      <c r="S92" s="19">
        <f>Coeficiente!$E$20*(Sheet1!N92-Coeficiente!$B$7)</f>
        <v>-1.0248451964911789</v>
      </c>
      <c r="T92" s="19">
        <f>Coeficiente!$E$22*(Sheet1!P92-Coeficiente!$B$8)</f>
        <v>0.33448289629993527</v>
      </c>
      <c r="U92" s="19">
        <f t="shared" si="6"/>
        <v>-5.1139644174348637</v>
      </c>
      <c r="V92" s="19">
        <f>Q92*I92</f>
        <v>-11.863736336910668</v>
      </c>
      <c r="W92" s="19">
        <f>R92*I92</f>
        <v>-250.01350900391162</v>
      </c>
      <c r="X92" s="19">
        <f>S92*I92</f>
        <v>-60.670835632277793</v>
      </c>
      <c r="Y92" s="19">
        <f>T92*I92</f>
        <v>19.801387460956168</v>
      </c>
      <c r="Z92" s="19">
        <f t="shared" si="7"/>
        <v>-302.74669351214391</v>
      </c>
      <c r="AA92" s="12">
        <f>Q92/J92</f>
        <v>-1.1583870036821068E-2</v>
      </c>
      <c r="AB92" s="13">
        <f>R92/J92</f>
        <v>-0.2441156743125211</v>
      </c>
      <c r="AC92" s="12">
        <f>S92/J92</f>
        <v>-5.9239606733594151E-2</v>
      </c>
      <c r="AD92" s="12">
        <f>T92/J92</f>
        <v>1.9334271462424002E-2</v>
      </c>
      <c r="AE92" s="19">
        <f>50*J92</f>
        <v>865</v>
      </c>
      <c r="AF92" s="19">
        <f>70*J92</f>
        <v>1211</v>
      </c>
      <c r="AG92" s="19">
        <f>100*J92</f>
        <v>1730</v>
      </c>
      <c r="AH92" s="12">
        <f>(12*AE92)/L92</f>
        <v>0.24230823100985108</v>
      </c>
      <c r="AI92" s="12">
        <f>(12*AF92)/L92</f>
        <v>0.33923152341379148</v>
      </c>
      <c r="AJ92" s="15">
        <f>(12*AG92)/L92</f>
        <v>0.48461646201970215</v>
      </c>
      <c r="AK92" s="4">
        <v>1</v>
      </c>
      <c r="AL92" s="4" t="s">
        <v>302</v>
      </c>
    </row>
    <row r="93" spans="1:38" ht="15.75" thickBot="1" x14ac:dyDescent="0.3">
      <c r="A93" s="4" t="s">
        <v>227</v>
      </c>
      <c r="B93" s="4" t="s">
        <v>228</v>
      </c>
      <c r="C93" s="4" t="s">
        <v>229</v>
      </c>
      <c r="D93" s="4" t="s">
        <v>230</v>
      </c>
      <c r="E93" s="4">
        <v>39</v>
      </c>
      <c r="F93" s="4">
        <v>14553</v>
      </c>
      <c r="G93" s="4">
        <v>40.393123000000003</v>
      </c>
      <c r="H93" s="4">
        <v>-3.5798489999999998</v>
      </c>
      <c r="I93" s="4">
        <v>59.2</v>
      </c>
      <c r="J93" s="4">
        <v>19.3</v>
      </c>
      <c r="K93" s="3">
        <f t="shared" si="4"/>
        <v>1142.5600000000002</v>
      </c>
      <c r="L93" s="14">
        <v>32707</v>
      </c>
      <c r="M93" s="16">
        <f t="shared" si="5"/>
        <v>0.26798598227169657</v>
      </c>
      <c r="N93" s="5">
        <v>12291</v>
      </c>
      <c r="O93" s="4">
        <v>10.823</v>
      </c>
      <c r="P93" s="3">
        <v>4.1330631264044557</v>
      </c>
      <c r="Q93" s="19">
        <f>Coeficiente!$E$19*(Sheet1!M93-Coeficiente!$B$5)</f>
        <v>-0.1791797321879238</v>
      </c>
      <c r="R93" s="19">
        <f>Coeficiente!$E$21*(Sheet1!O93-Coeficiente!$B$6)</f>
        <v>-4.5023565055947685</v>
      </c>
      <c r="S93" s="19">
        <f>Coeficiente!$E$20*(Sheet1!N93-Coeficiente!$B$7)</f>
        <v>-1.8939039287456834</v>
      </c>
      <c r="T93" s="19">
        <f>Coeficiente!$E$22*(Sheet1!P93-Coeficiente!$B$8)</f>
        <v>0.11441510807763848</v>
      </c>
      <c r="U93" s="19">
        <f t="shared" si="6"/>
        <v>-6.4610250584507369</v>
      </c>
      <c r="V93" s="19">
        <f>Q93*I93</f>
        <v>-10.607440145525089</v>
      </c>
      <c r="W93" s="19">
        <f>R93*I93</f>
        <v>-266.53950513121032</v>
      </c>
      <c r="X93" s="19">
        <f>S93*I93</f>
        <v>-112.11911258174446</v>
      </c>
      <c r="Y93" s="19">
        <f>T93*I93</f>
        <v>6.7733743981961982</v>
      </c>
      <c r="Z93" s="19">
        <f t="shared" si="7"/>
        <v>-382.49268346028367</v>
      </c>
      <c r="AA93" s="12">
        <f>Q93/J93</f>
        <v>-9.2839239475608175E-3</v>
      </c>
      <c r="AB93" s="13">
        <f>R93/J93</f>
        <v>-0.23328272049713825</v>
      </c>
      <c r="AC93" s="12">
        <f>S93/J93</f>
        <v>-9.8129737240708975E-2</v>
      </c>
      <c r="AD93" s="12">
        <f>T93/J93</f>
        <v>5.9282439418465536E-3</v>
      </c>
      <c r="AE93" s="19">
        <f>50*J93</f>
        <v>965</v>
      </c>
      <c r="AF93" s="19">
        <f>70*J93</f>
        <v>1351</v>
      </c>
      <c r="AG93" s="19">
        <f>100*J93</f>
        <v>1930</v>
      </c>
      <c r="AH93" s="12">
        <f>(12*AE93)/L93</f>
        <v>0.35405264927997065</v>
      </c>
      <c r="AI93" s="12">
        <f>(12*AF93)/L93</f>
        <v>0.49567370899195889</v>
      </c>
      <c r="AJ93" s="15">
        <f>(12*AG93)/L93</f>
        <v>0.70810529855994131</v>
      </c>
      <c r="AK93" s="4">
        <v>1</v>
      </c>
      <c r="AL93" s="4" t="s">
        <v>302</v>
      </c>
    </row>
    <row r="94" spans="1:38" ht="15.75" thickBot="1" x14ac:dyDescent="0.3">
      <c r="A94" s="4" t="s">
        <v>231</v>
      </c>
      <c r="B94" s="4" t="s">
        <v>228</v>
      </c>
      <c r="C94" s="4" t="s">
        <v>229</v>
      </c>
      <c r="D94" s="4" t="s">
        <v>232</v>
      </c>
      <c r="E94" s="4">
        <v>0</v>
      </c>
      <c r="F94" s="4">
        <v>9393</v>
      </c>
      <c r="G94" s="4">
        <v>40.404623000000001</v>
      </c>
      <c r="H94" s="4">
        <v>-3.5492219999999999</v>
      </c>
      <c r="I94" s="4">
        <v>106.88</v>
      </c>
      <c r="J94" s="4">
        <v>15.6</v>
      </c>
      <c r="K94" s="3">
        <f t="shared" si="4"/>
        <v>1667.328</v>
      </c>
      <c r="L94" s="14">
        <v>49613</v>
      </c>
      <c r="M94" s="16">
        <f t="shared" si="5"/>
        <v>0</v>
      </c>
      <c r="N94" s="5">
        <v>19187</v>
      </c>
      <c r="O94" s="4">
        <v>13.164</v>
      </c>
      <c r="P94" s="3">
        <v>27.368003438357519</v>
      </c>
      <c r="Q94" s="19">
        <f>Coeficiente!$E$19*(Sheet1!M94-Coeficiente!$B$5)</f>
        <v>-0.20985660381651575</v>
      </c>
      <c r="R94" s="19">
        <f>Coeficiente!$E$21*(Sheet1!O94-Coeficiente!$B$6)</f>
        <v>-6.3536388027966586</v>
      </c>
      <c r="S94" s="19">
        <f>Coeficiente!$E$20*(Sheet1!N94-Coeficiente!$B$7)</f>
        <v>-0.55198072730657399</v>
      </c>
      <c r="T94" s="19">
        <f>Coeficiente!$E$22*(Sheet1!P94-Coeficiente!$B$8)</f>
        <v>4.0185676518941129</v>
      </c>
      <c r="U94" s="19">
        <f t="shared" si="6"/>
        <v>-3.0969084820256363</v>
      </c>
      <c r="V94" s="19">
        <f>Q94*I94</f>
        <v>-22.429473815909201</v>
      </c>
      <c r="W94" s="19">
        <f>R94*I94</f>
        <v>-679.07691524290681</v>
      </c>
      <c r="X94" s="19">
        <f>S94*I94</f>
        <v>-58.995700134526629</v>
      </c>
      <c r="Y94" s="19">
        <f>T94*I94</f>
        <v>429.50451063444279</v>
      </c>
      <c r="Z94" s="19">
        <f t="shared" si="7"/>
        <v>-330.99757855889982</v>
      </c>
      <c r="AA94" s="12">
        <f>Q94/J94</f>
        <v>-1.3452346398494599E-2</v>
      </c>
      <c r="AB94" s="13">
        <f>R94/J94</f>
        <v>-0.40728453864081143</v>
      </c>
      <c r="AC94" s="12">
        <f>S94/J94</f>
        <v>-3.5383379955549618E-2</v>
      </c>
      <c r="AD94" s="12">
        <f>T94/J94</f>
        <v>0.2576004905060329</v>
      </c>
      <c r="AE94" s="19">
        <f>50*J94</f>
        <v>780</v>
      </c>
      <c r="AF94" s="19">
        <f>70*J94</f>
        <v>1092</v>
      </c>
      <c r="AG94" s="19">
        <f>100*J94</f>
        <v>1560</v>
      </c>
      <c r="AH94" s="12">
        <f>(12*AE94)/L94</f>
        <v>0.18866023018160563</v>
      </c>
      <c r="AI94" s="12">
        <f>(12*AF94)/L94</f>
        <v>0.26412432225424787</v>
      </c>
      <c r="AJ94" s="15">
        <f>(12*AG94)/L94</f>
        <v>0.37732046036321126</v>
      </c>
      <c r="AK94" s="4">
        <v>1</v>
      </c>
      <c r="AL94" s="4" t="s">
        <v>302</v>
      </c>
    </row>
    <row r="95" spans="1:38" ht="15.75" thickBot="1" x14ac:dyDescent="0.3">
      <c r="A95" s="4" t="s">
        <v>233</v>
      </c>
      <c r="B95" s="4" t="s">
        <v>234</v>
      </c>
      <c r="C95" s="4" t="s">
        <v>235</v>
      </c>
      <c r="D95" s="4" t="s">
        <v>236</v>
      </c>
      <c r="E95" s="4">
        <v>99</v>
      </c>
      <c r="F95" s="4">
        <v>12445</v>
      </c>
      <c r="G95" s="4">
        <v>40.434117999999998</v>
      </c>
      <c r="H95" s="4">
        <v>-3.6246309999999999</v>
      </c>
      <c r="I95" s="4">
        <v>70.67</v>
      </c>
      <c r="J95" s="4">
        <v>19.2</v>
      </c>
      <c r="K95" s="3">
        <f t="shared" si="4"/>
        <v>1356.864</v>
      </c>
      <c r="L95" s="14">
        <v>40528</v>
      </c>
      <c r="M95" s="16">
        <f t="shared" si="5"/>
        <v>0.79550020088388906</v>
      </c>
      <c r="N95" s="5">
        <v>15675</v>
      </c>
      <c r="O95" s="4">
        <v>6.9589999999999996</v>
      </c>
      <c r="P95" s="3">
        <v>4.7282046060112348</v>
      </c>
      <c r="Q95" s="19">
        <f>Coeficiente!$E$19*(Sheet1!M95-Coeficiente!$B$5)</f>
        <v>-0.11879416340016288</v>
      </c>
      <c r="R95" s="19">
        <f>Coeficiente!$E$21*(Sheet1!O95-Coeficiente!$B$6)</f>
        <v>-1.4466731239680677</v>
      </c>
      <c r="S95" s="19">
        <f>Coeficiente!$E$20*(Sheet1!N95-Coeficiente!$B$7)</f>
        <v>-1.2353963716589742</v>
      </c>
      <c r="T95" s="19">
        <f>Coeficiente!$E$22*(Sheet1!P95-Coeficiente!$B$8)</f>
        <v>0.21441636008611409</v>
      </c>
      <c r="U95" s="19">
        <f t="shared" si="6"/>
        <v>-2.5864472989410907</v>
      </c>
      <c r="V95" s="19">
        <f>Q95*I95</f>
        <v>-8.395183527489511</v>
      </c>
      <c r="W95" s="19">
        <f>R95*I95</f>
        <v>-102.23638967082334</v>
      </c>
      <c r="X95" s="19">
        <f>S95*I95</f>
        <v>-87.30546158513971</v>
      </c>
      <c r="Y95" s="19">
        <f>T95*I95</f>
        <v>15.152804167285684</v>
      </c>
      <c r="Z95" s="19">
        <f t="shared" si="7"/>
        <v>-182.78423061616687</v>
      </c>
      <c r="AA95" s="12">
        <f>Q95/J95</f>
        <v>-6.1871960104251502E-3</v>
      </c>
      <c r="AB95" s="13">
        <f>R95/J95</f>
        <v>-7.5347558540003523E-2</v>
      </c>
      <c r="AC95" s="12">
        <f>S95/J95</f>
        <v>-6.4343561023904913E-2</v>
      </c>
      <c r="AD95" s="12">
        <f>T95/J95</f>
        <v>1.1167518754485109E-2</v>
      </c>
      <c r="AE95" s="19">
        <f>50*J95</f>
        <v>960</v>
      </c>
      <c r="AF95" s="19">
        <f>70*J95</f>
        <v>1344</v>
      </c>
      <c r="AG95" s="19">
        <f>100*J95</f>
        <v>1920</v>
      </c>
      <c r="AH95" s="12">
        <f>(12*AE95)/L95</f>
        <v>0.28424792735886301</v>
      </c>
      <c r="AI95" s="12">
        <f>(12*AF95)/L95</f>
        <v>0.39794709830240821</v>
      </c>
      <c r="AJ95" s="15">
        <f>(12*AG95)/L95</f>
        <v>0.56849585471772601</v>
      </c>
      <c r="AK95" s="4">
        <v>1</v>
      </c>
      <c r="AL95" s="4" t="s">
        <v>302</v>
      </c>
    </row>
    <row r="96" spans="1:38" ht="15.75" thickBot="1" x14ac:dyDescent="0.3">
      <c r="A96" s="4" t="s">
        <v>237</v>
      </c>
      <c r="B96" s="4" t="s">
        <v>234</v>
      </c>
      <c r="C96" s="4" t="s">
        <v>235</v>
      </c>
      <c r="D96" s="4" t="s">
        <v>238</v>
      </c>
      <c r="E96" s="4">
        <v>39</v>
      </c>
      <c r="F96" s="4">
        <v>12087</v>
      </c>
      <c r="G96" s="4">
        <v>40.429344</v>
      </c>
      <c r="H96" s="4">
        <v>-3.5937000000000001</v>
      </c>
      <c r="I96" s="4">
        <v>91.26</v>
      </c>
      <c r="J96" s="4">
        <v>15.1</v>
      </c>
      <c r="K96" s="3">
        <f t="shared" si="4"/>
        <v>1378.0260000000001</v>
      </c>
      <c r="L96" s="14">
        <v>54543</v>
      </c>
      <c r="M96" s="16">
        <f t="shared" si="5"/>
        <v>0.32266070985356171</v>
      </c>
      <c r="N96" s="5">
        <v>19981</v>
      </c>
      <c r="O96" s="4">
        <v>9.4179999999999993</v>
      </c>
      <c r="P96" s="3">
        <v>0.28251798210719448</v>
      </c>
      <c r="Q96" s="19">
        <f>Coeficiente!$E$19*(Sheet1!M96-Coeficiente!$B$5)</f>
        <v>-0.17292101079832278</v>
      </c>
      <c r="R96" s="19">
        <f>Coeficiente!$E$21*(Sheet1!O96-Coeficiente!$B$6)</f>
        <v>-3.3912708039422021</v>
      </c>
      <c r="S96" s="19">
        <f>Coeficiente!$E$20*(Sheet1!N96-Coeficiente!$B$7)</f>
        <v>-0.3974727484865837</v>
      </c>
      <c r="T96" s="19">
        <f>Coeficiente!$E$22*(Sheet1!P96-Coeficiente!$B$8)</f>
        <v>-0.53258959339149492</v>
      </c>
      <c r="U96" s="19">
        <f t="shared" si="6"/>
        <v>-4.4942541566186041</v>
      </c>
      <c r="V96" s="19">
        <f>Q96*I96</f>
        <v>-15.780771445454938</v>
      </c>
      <c r="W96" s="19">
        <f>R96*I96</f>
        <v>-309.48737356776536</v>
      </c>
      <c r="X96" s="19">
        <f>S96*I96</f>
        <v>-36.273363026885633</v>
      </c>
      <c r="Y96" s="19">
        <f>T96*I96</f>
        <v>-48.604126292907829</v>
      </c>
      <c r="Z96" s="19">
        <f t="shared" si="7"/>
        <v>-410.14563433301379</v>
      </c>
      <c r="AA96" s="12">
        <f>Q96/J96</f>
        <v>-1.145172256942535E-2</v>
      </c>
      <c r="AB96" s="13">
        <f>R96/J96</f>
        <v>-0.2245874704597485</v>
      </c>
      <c r="AC96" s="12">
        <f>S96/J96</f>
        <v>-2.6322698575270444E-2</v>
      </c>
      <c r="AD96" s="12">
        <f>T96/J96</f>
        <v>-3.527083399943675E-2</v>
      </c>
      <c r="AE96" s="19">
        <f>50*J96</f>
        <v>755</v>
      </c>
      <c r="AF96" s="19">
        <f>70*J96</f>
        <v>1057</v>
      </c>
      <c r="AG96" s="19">
        <f>100*J96</f>
        <v>1510</v>
      </c>
      <c r="AH96" s="12">
        <f>(12*AE96)/L96</f>
        <v>0.16610747483636765</v>
      </c>
      <c r="AI96" s="12">
        <f>(12*AF96)/L96</f>
        <v>0.23255046477091468</v>
      </c>
      <c r="AJ96" s="15">
        <f>(12*AG96)/L96</f>
        <v>0.33221494967273529</v>
      </c>
      <c r="AK96" s="4">
        <v>1</v>
      </c>
      <c r="AL96" s="4" t="s">
        <v>302</v>
      </c>
    </row>
    <row r="97" spans="1:38" ht="15.75" thickBot="1" x14ac:dyDescent="0.3">
      <c r="A97" s="4" t="s">
        <v>239</v>
      </c>
      <c r="B97" s="4" t="s">
        <v>234</v>
      </c>
      <c r="C97" s="4" t="s">
        <v>235</v>
      </c>
      <c r="D97" s="4" t="s">
        <v>240</v>
      </c>
      <c r="E97" s="4">
        <v>144</v>
      </c>
      <c r="F97" s="4">
        <v>6838</v>
      </c>
      <c r="G97" s="4">
        <v>40.444009000000001</v>
      </c>
      <c r="H97" s="4">
        <v>-3.569048</v>
      </c>
      <c r="I97" s="4">
        <v>92.86</v>
      </c>
      <c r="J97" s="4">
        <v>16.8</v>
      </c>
      <c r="K97" s="3">
        <f t="shared" si="4"/>
        <v>1560.048</v>
      </c>
      <c r="L97" s="14">
        <v>48981</v>
      </c>
      <c r="M97" s="16">
        <f t="shared" si="5"/>
        <v>2.1058789119625621</v>
      </c>
      <c r="N97" s="5">
        <v>19155</v>
      </c>
      <c r="O97" s="4">
        <v>11.795999999999999</v>
      </c>
      <c r="P97" s="3">
        <v>4.478157044528726</v>
      </c>
      <c r="Q97" s="19">
        <f>Coeficiente!$E$19*(Sheet1!M97-Coeficiente!$B$5)</f>
        <v>3.1207411920464587E-2</v>
      </c>
      <c r="R97" s="19">
        <f>Coeficiente!$E$21*(Sheet1!O97-Coeficiente!$B$6)</f>
        <v>-5.271813009301491</v>
      </c>
      <c r="S97" s="19">
        <f>Coeficiente!$E$20*(Sheet1!N97-Coeficiente!$B$7)</f>
        <v>-0.55820774912299675</v>
      </c>
      <c r="T97" s="19">
        <f>Coeficiente!$E$22*(Sheet1!P97-Coeficiente!$B$8)</f>
        <v>0.17240102412526243</v>
      </c>
      <c r="U97" s="19">
        <f t="shared" si="6"/>
        <v>-5.6264123223787612</v>
      </c>
      <c r="V97" s="19">
        <f>Q97*I97</f>
        <v>2.8979202709343417</v>
      </c>
      <c r="W97" s="19">
        <f>R97*I97</f>
        <v>-489.54055604373644</v>
      </c>
      <c r="X97" s="19">
        <f>S97*I97</f>
        <v>-51.835171583561475</v>
      </c>
      <c r="Y97" s="19">
        <f>T97*I97</f>
        <v>16.009159100271869</v>
      </c>
      <c r="Z97" s="19">
        <f t="shared" si="7"/>
        <v>-522.4686482560918</v>
      </c>
      <c r="AA97" s="12">
        <f>Q97/J97</f>
        <v>1.8575840428847969E-3</v>
      </c>
      <c r="AB97" s="13">
        <f>R97/J97</f>
        <v>-0.31379839341080301</v>
      </c>
      <c r="AC97" s="12">
        <f>S97/J97</f>
        <v>-3.3226651733511713E-2</v>
      </c>
      <c r="AD97" s="12">
        <f>T97/J97</f>
        <v>1.026196572174181E-2</v>
      </c>
      <c r="AE97" s="19">
        <f>50*J97</f>
        <v>840</v>
      </c>
      <c r="AF97" s="19">
        <f>70*J97</f>
        <v>1176</v>
      </c>
      <c r="AG97" s="19">
        <f>100*J97</f>
        <v>1680</v>
      </c>
      <c r="AH97" s="12">
        <f>(12*AE97)/L97</f>
        <v>0.20579408342010166</v>
      </c>
      <c r="AI97" s="12">
        <f>(12*AF97)/L97</f>
        <v>0.28811171678814235</v>
      </c>
      <c r="AJ97" s="15">
        <f>(12*AG97)/L97</f>
        <v>0.41158816684020333</v>
      </c>
      <c r="AK97" s="4">
        <v>1</v>
      </c>
      <c r="AL97" s="4" t="s">
        <v>302</v>
      </c>
    </row>
    <row r="98" spans="1:38" ht="15.75" thickBot="1" x14ac:dyDescent="0.3">
      <c r="A98" s="4" t="s">
        <v>241</v>
      </c>
      <c r="B98" s="4" t="s">
        <v>234</v>
      </c>
      <c r="C98" s="4" t="s">
        <v>235</v>
      </c>
      <c r="D98" s="4" t="s">
        <v>242</v>
      </c>
      <c r="E98" s="4">
        <v>96</v>
      </c>
      <c r="F98" s="4">
        <v>12519</v>
      </c>
      <c r="G98" s="4">
        <v>40.442759000000002</v>
      </c>
      <c r="H98" s="4">
        <v>-3.609896</v>
      </c>
      <c r="I98" s="4">
        <v>75.44</v>
      </c>
      <c r="J98" s="4">
        <v>19.2</v>
      </c>
      <c r="K98" s="3">
        <f t="shared" si="4"/>
        <v>1448.4479999999999</v>
      </c>
      <c r="L98" s="14">
        <v>39548</v>
      </c>
      <c r="M98" s="16">
        <f t="shared" si="5"/>
        <v>0.76683441169422484</v>
      </c>
      <c r="N98" s="5">
        <v>15070</v>
      </c>
      <c r="O98" s="4">
        <v>8.4429999999999996</v>
      </c>
      <c r="P98" s="3">
        <v>2.9689883070665992</v>
      </c>
      <c r="Q98" s="19">
        <f>Coeficiente!$E$19*(Sheet1!M98-Coeficiente!$B$5)</f>
        <v>-0.12207559150938409</v>
      </c>
      <c r="R98" s="19">
        <f>Coeficiente!$E$21*(Sheet1!O98-Coeficiente!$B$6)</f>
        <v>-2.6202326835783221</v>
      </c>
      <c r="S98" s="19">
        <f>Coeficiente!$E$20*(Sheet1!N98-Coeficiente!$B$7)</f>
        <v>-1.3531260028757173</v>
      </c>
      <c r="T98" s="19">
        <f>Coeficiente!$E$22*(Sheet1!P98-Coeficiente!$B$8)</f>
        <v>-8.1183658525286306E-2</v>
      </c>
      <c r="U98" s="19">
        <f t="shared" si="6"/>
        <v>-4.1766179364887099</v>
      </c>
      <c r="V98" s="19">
        <f>Q98*I98</f>
        <v>-9.2093826234679348</v>
      </c>
      <c r="W98" s="19">
        <f>R98*I98</f>
        <v>-197.67035364914861</v>
      </c>
      <c r="X98" s="19">
        <f>S98*I98</f>
        <v>-102.07982565694411</v>
      </c>
      <c r="Y98" s="19">
        <f>T98*I98</f>
        <v>-6.1244951991475984</v>
      </c>
      <c r="Z98" s="19">
        <f t="shared" si="7"/>
        <v>-315.08405712870825</v>
      </c>
      <c r="AA98" s="12">
        <f>Q98/J98</f>
        <v>-6.3581037244470878E-3</v>
      </c>
      <c r="AB98" s="13">
        <f>R98/J98</f>
        <v>-0.13647045226970428</v>
      </c>
      <c r="AC98" s="12">
        <f>S98/J98</f>
        <v>-7.0475312649776939E-2</v>
      </c>
      <c r="AD98" s="12">
        <f>T98/J98</f>
        <v>-4.2283155481919951E-3</v>
      </c>
      <c r="AE98" s="19">
        <f>50*J98</f>
        <v>960</v>
      </c>
      <c r="AF98" s="19">
        <f>70*J98</f>
        <v>1344</v>
      </c>
      <c r="AG98" s="19">
        <f>100*J98</f>
        <v>1920</v>
      </c>
      <c r="AH98" s="12">
        <f>(12*AE98)/L98</f>
        <v>0.29129159502376861</v>
      </c>
      <c r="AI98" s="12">
        <f>(12*AF98)/L98</f>
        <v>0.40780823303327601</v>
      </c>
      <c r="AJ98" s="15">
        <f>(12*AG98)/L98</f>
        <v>0.58258319004753722</v>
      </c>
      <c r="AK98" s="4">
        <v>1</v>
      </c>
      <c r="AL98" s="4" t="s">
        <v>302</v>
      </c>
    </row>
    <row r="99" spans="1:38" ht="15.75" thickBot="1" x14ac:dyDescent="0.3">
      <c r="A99" s="4" t="s">
        <v>243</v>
      </c>
      <c r="B99" s="4" t="s">
        <v>234</v>
      </c>
      <c r="C99" s="4" t="s">
        <v>235</v>
      </c>
      <c r="D99" s="4" t="s">
        <v>244</v>
      </c>
      <c r="E99" s="4">
        <v>20</v>
      </c>
      <c r="F99" s="4">
        <v>4893</v>
      </c>
      <c r="G99" s="4">
        <v>40.444173999999997</v>
      </c>
      <c r="H99" s="4">
        <v>-3.6279309999999998</v>
      </c>
      <c r="I99" s="4">
        <v>123.93</v>
      </c>
      <c r="J99" s="4">
        <v>17</v>
      </c>
      <c r="K99" s="3">
        <f t="shared" si="4"/>
        <v>2106.81</v>
      </c>
      <c r="L99" s="14">
        <v>66674</v>
      </c>
      <c r="M99" s="16">
        <f t="shared" si="5"/>
        <v>0.40874718986306974</v>
      </c>
      <c r="N99" s="5">
        <v>26077</v>
      </c>
      <c r="O99" s="4">
        <v>7.0890000000000004</v>
      </c>
      <c r="P99" s="3">
        <v>2.2245762711864412</v>
      </c>
      <c r="Q99" s="19">
        <f>Coeficiente!$E$19*(Sheet1!M99-Coeficiente!$B$5)</f>
        <v>-0.16306652559793047</v>
      </c>
      <c r="R99" s="19">
        <f>Coeficiente!$E$21*(Sheet1!O99-Coeficiente!$B$6)</f>
        <v>-1.5494782066832522</v>
      </c>
      <c r="S99" s="19">
        <f>Coeficiente!$E$20*(Sheet1!N99-Coeficiente!$B$7)</f>
        <v>0.78877490754195612</v>
      </c>
      <c r="T99" s="19">
        <f>Coeficiente!$E$22*(Sheet1!P99-Coeficiente!$B$8)</f>
        <v>-0.20626674909961387</v>
      </c>
      <c r="U99" s="19">
        <f t="shared" si="6"/>
        <v>-1.1300365738388405</v>
      </c>
      <c r="V99" s="19">
        <f>Q99*I99</f>
        <v>-20.208834517351523</v>
      </c>
      <c r="W99" s="19">
        <f>R99*I99</f>
        <v>-192.02683415425545</v>
      </c>
      <c r="X99" s="19">
        <f>S99*I99</f>
        <v>97.75287429167463</v>
      </c>
      <c r="Y99" s="19">
        <f>T99*I99</f>
        <v>-25.562638215915147</v>
      </c>
      <c r="Z99" s="19">
        <f t="shared" si="7"/>
        <v>-140.0454325958475</v>
      </c>
      <c r="AA99" s="12">
        <f>Q99/J99</f>
        <v>-9.5921485645841451E-3</v>
      </c>
      <c r="AB99" s="13">
        <f>R99/J99</f>
        <v>-9.1145776863720718E-2</v>
      </c>
      <c r="AC99" s="12">
        <f>S99/J99</f>
        <v>4.6398523973056244E-2</v>
      </c>
      <c r="AD99" s="12">
        <f>T99/J99</f>
        <v>-1.2133338182330228E-2</v>
      </c>
      <c r="AE99" s="19">
        <f>50*J99</f>
        <v>850</v>
      </c>
      <c r="AF99" s="19">
        <f>70*J99</f>
        <v>1190</v>
      </c>
      <c r="AG99" s="19">
        <f>100*J99</f>
        <v>1700</v>
      </c>
      <c r="AH99" s="12">
        <f>(12*AE99)/L99</f>
        <v>0.15298317185109639</v>
      </c>
      <c r="AI99" s="12">
        <f>(12*AF99)/L99</f>
        <v>0.21417644059153493</v>
      </c>
      <c r="AJ99" s="15">
        <f>(12*AG99)/L99</f>
        <v>0.30596634370219278</v>
      </c>
      <c r="AK99" s="4">
        <v>1</v>
      </c>
      <c r="AL99" s="4" t="s">
        <v>302</v>
      </c>
    </row>
    <row r="100" spans="1:38" ht="15.75" thickBot="1" x14ac:dyDescent="0.3">
      <c r="A100" s="4" t="s">
        <v>245</v>
      </c>
      <c r="B100" s="4" t="s">
        <v>246</v>
      </c>
      <c r="C100" s="4" t="s">
        <v>247</v>
      </c>
      <c r="D100" s="4" t="s">
        <v>248</v>
      </c>
      <c r="E100" s="4">
        <v>36</v>
      </c>
      <c r="F100" s="4">
        <v>8316</v>
      </c>
      <c r="G100" s="4">
        <v>40.457281999999999</v>
      </c>
      <c r="H100" s="4">
        <v>-3.5911209999999998</v>
      </c>
      <c r="I100" s="4">
        <v>97.84</v>
      </c>
      <c r="J100" s="4">
        <v>15.5</v>
      </c>
      <c r="K100" s="3">
        <f t="shared" si="4"/>
        <v>1516.52</v>
      </c>
      <c r="L100" s="14">
        <v>64316</v>
      </c>
      <c r="M100" s="16">
        <f t="shared" si="5"/>
        <v>0.4329004329004329</v>
      </c>
      <c r="N100" s="5">
        <v>24417</v>
      </c>
      <c r="O100" s="4">
        <v>10.532999999999999</v>
      </c>
      <c r="P100" s="3">
        <v>0.96056622851365014</v>
      </c>
      <c r="Q100" s="19">
        <f>Coeficiente!$E$19*(Sheet1!M100-Coeficiente!$B$5)</f>
        <v>-0.16030165733955953</v>
      </c>
      <c r="R100" s="19">
        <f>Coeficiente!$E$21*(Sheet1!O100-Coeficiente!$B$6)</f>
        <v>-4.2730220903070499</v>
      </c>
      <c r="S100" s="19">
        <f>Coeficiente!$E$20*(Sheet1!N100-Coeficiente!$B$7)</f>
        <v>0.46574815081502435</v>
      </c>
      <c r="T100" s="19">
        <f>Coeficiente!$E$22*(Sheet1!P100-Coeficiente!$B$8)</f>
        <v>-0.41865756901369933</v>
      </c>
      <c r="U100" s="19">
        <f t="shared" si="6"/>
        <v>-4.386233165845284</v>
      </c>
      <c r="V100" s="19">
        <f>Q100*I100</f>
        <v>-15.683914154102505</v>
      </c>
      <c r="W100" s="19">
        <f>R100*I100</f>
        <v>-418.07248131564177</v>
      </c>
      <c r="X100" s="19">
        <f>S100*I100</f>
        <v>45.568799075741985</v>
      </c>
      <c r="Y100" s="19">
        <f>T100*I100</f>
        <v>-40.961456552300341</v>
      </c>
      <c r="Z100" s="19">
        <f t="shared" si="7"/>
        <v>-429.14905294630262</v>
      </c>
      <c r="AA100" s="12">
        <f>Q100/J100</f>
        <v>-1.034204240900384E-2</v>
      </c>
      <c r="AB100" s="13">
        <f>R100/J100</f>
        <v>-0.27567884453593872</v>
      </c>
      <c r="AC100" s="12">
        <f>S100/J100</f>
        <v>3.0048267794517702E-2</v>
      </c>
      <c r="AD100" s="12">
        <f>T100/J100</f>
        <v>-2.7010165742819312E-2</v>
      </c>
      <c r="AE100" s="19">
        <f>50*J100</f>
        <v>775</v>
      </c>
      <c r="AF100" s="19">
        <f>70*J100</f>
        <v>1085</v>
      </c>
      <c r="AG100" s="19">
        <f>100*J100</f>
        <v>1550</v>
      </c>
      <c r="AH100" s="12">
        <f>(12*AE100)/L100</f>
        <v>0.14459854468561478</v>
      </c>
      <c r="AI100" s="12">
        <f>(12*AF100)/L100</f>
        <v>0.20243796255986068</v>
      </c>
      <c r="AJ100" s="15">
        <f>(12*AG100)/L100</f>
        <v>0.28919708937122957</v>
      </c>
      <c r="AK100" s="4">
        <v>1</v>
      </c>
      <c r="AL100" s="4" t="s">
        <v>302</v>
      </c>
    </row>
    <row r="101" spans="1:38" ht="15.75" thickBot="1" x14ac:dyDescent="0.3">
      <c r="A101" s="4" t="s">
        <v>249</v>
      </c>
      <c r="B101" s="4" t="s">
        <v>246</v>
      </c>
      <c r="C101" s="4" t="s">
        <v>247</v>
      </c>
      <c r="D101" s="4" t="s">
        <v>250</v>
      </c>
      <c r="E101" s="4">
        <v>61</v>
      </c>
      <c r="F101" s="4">
        <v>5333</v>
      </c>
      <c r="G101" s="4">
        <v>40.476320999999999</v>
      </c>
      <c r="H101" s="4">
        <v>-3.6039379999999999</v>
      </c>
      <c r="I101" s="4">
        <v>90.26</v>
      </c>
      <c r="J101" s="4">
        <v>16.7</v>
      </c>
      <c r="K101" s="3">
        <f t="shared" si="4"/>
        <v>1507.3420000000001</v>
      </c>
      <c r="L101" s="14">
        <v>51725</v>
      </c>
      <c r="M101" s="16">
        <f t="shared" si="5"/>
        <v>1.1438214888430527</v>
      </c>
      <c r="N101" s="5">
        <v>19498</v>
      </c>
      <c r="O101" s="4">
        <v>10.712999999999999</v>
      </c>
      <c r="P101" s="3">
        <v>2.8712830790625379</v>
      </c>
      <c r="Q101" s="19">
        <f>Coeficiente!$E$19*(Sheet1!M101-Coeficiente!$B$5)</f>
        <v>-7.8921154574665003E-2</v>
      </c>
      <c r="R101" s="19">
        <f>Coeficiente!$E$21*(Sheet1!O101-Coeficiente!$B$6)</f>
        <v>-4.4153675894511508</v>
      </c>
      <c r="S101" s="19">
        <f>Coeficiente!$E$20*(Sheet1!N101-Coeficiente!$B$7)</f>
        <v>-0.49146185902821504</v>
      </c>
      <c r="T101" s="19">
        <f>Coeficiente!$E$22*(Sheet1!P101-Coeficiente!$B$8)</f>
        <v>-9.7601007110425006E-2</v>
      </c>
      <c r="U101" s="19">
        <f t="shared" si="6"/>
        <v>-5.0833516101644562</v>
      </c>
      <c r="V101" s="19">
        <f>Q101*I101</f>
        <v>-7.1234234119092639</v>
      </c>
      <c r="W101" s="19">
        <f>R101*I101</f>
        <v>-398.53107862386088</v>
      </c>
      <c r="X101" s="19">
        <f>S101*I101</f>
        <v>-44.359347395886694</v>
      </c>
      <c r="Y101" s="19">
        <f>T101*I101</f>
        <v>-8.809466901786962</v>
      </c>
      <c r="Z101" s="19">
        <f t="shared" si="7"/>
        <v>-458.82331633344376</v>
      </c>
      <c r="AA101" s="12">
        <f>Q101/J101</f>
        <v>-4.7258176392014975E-3</v>
      </c>
      <c r="AB101" s="13">
        <f>R101/J101</f>
        <v>-0.26439326882941022</v>
      </c>
      <c r="AC101" s="12">
        <f>S101/J101</f>
        <v>-2.9428853834024854E-2</v>
      </c>
      <c r="AD101" s="12">
        <f>T101/J101</f>
        <v>-5.8443716832589825E-3</v>
      </c>
      <c r="AE101" s="19">
        <f>50*J101</f>
        <v>835</v>
      </c>
      <c r="AF101" s="19">
        <f>70*J101</f>
        <v>1169</v>
      </c>
      <c r="AG101" s="19">
        <f>100*J101</f>
        <v>1670</v>
      </c>
      <c r="AH101" s="12">
        <f>(12*AE101)/L101</f>
        <v>0.19371677138714355</v>
      </c>
      <c r="AI101" s="12">
        <f>(12*AF101)/L101</f>
        <v>0.27120347994200095</v>
      </c>
      <c r="AJ101" s="15">
        <f>(12*AG101)/L101</f>
        <v>0.3874335427742871</v>
      </c>
      <c r="AK101" s="4">
        <v>1</v>
      </c>
      <c r="AL101" s="4" t="s">
        <v>302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F75D-7E77-4F9B-BA7A-05FF22DC49B9}">
  <dimension ref="A2:L22"/>
  <sheetViews>
    <sheetView workbookViewId="0">
      <selection activeCell="E19" sqref="E19"/>
    </sheetView>
  </sheetViews>
  <sheetFormatPr baseColWidth="10" defaultRowHeight="15" x14ac:dyDescent="0.25"/>
  <cols>
    <col min="1" max="1" width="19.5703125" bestFit="1" customWidth="1"/>
    <col min="4" max="4" width="32.85546875" bestFit="1" customWidth="1"/>
  </cols>
  <sheetData>
    <row r="2" spans="1:9" x14ac:dyDescent="0.25">
      <c r="D2" t="s">
        <v>251</v>
      </c>
    </row>
    <row r="3" spans="1:9" ht="15.75" thickBot="1" x14ac:dyDescent="0.3"/>
    <row r="4" spans="1:9" x14ac:dyDescent="0.25">
      <c r="D4" s="9" t="s">
        <v>252</v>
      </c>
      <c r="E4" s="9"/>
    </row>
    <row r="5" spans="1:9" x14ac:dyDescent="0.25">
      <c r="A5" t="s">
        <v>306</v>
      </c>
      <c r="B5">
        <f>AVERAGE(Sheet1!M:M)</f>
        <v>1.8332582536726079</v>
      </c>
      <c r="D5" s="6" t="s">
        <v>253</v>
      </c>
      <c r="E5" s="6">
        <v>0.83657018825729013</v>
      </c>
    </row>
    <row r="6" spans="1:9" x14ac:dyDescent="0.25">
      <c r="A6" t="s">
        <v>307</v>
      </c>
      <c r="B6">
        <f>AVERAGE(Sheet1!O:O)</f>
        <v>5.129640000000002</v>
      </c>
      <c r="D6" s="6" t="s">
        <v>254</v>
      </c>
      <c r="E6" s="6">
        <v>0.6998496798808379</v>
      </c>
    </row>
    <row r="7" spans="1:9" x14ac:dyDescent="0.25">
      <c r="A7" t="s">
        <v>308</v>
      </c>
      <c r="B7">
        <f>AVERAGE(Sheet1!N:N)</f>
        <v>22023.57</v>
      </c>
      <c r="D7" s="6" t="s">
        <v>255</v>
      </c>
      <c r="E7" s="6">
        <v>0.68721177166529424</v>
      </c>
    </row>
    <row r="8" spans="1:9" x14ac:dyDescent="0.25">
      <c r="A8" t="s">
        <v>309</v>
      </c>
      <c r="B8" s="17">
        <f>AVERAGE(Sheet1!P:P)</f>
        <v>3.4521398845142035</v>
      </c>
      <c r="D8" s="6" t="s">
        <v>256</v>
      </c>
      <c r="E8" s="6">
        <v>1.9984933891383698</v>
      </c>
    </row>
    <row r="9" spans="1:9" ht="15.75" thickBot="1" x14ac:dyDescent="0.3">
      <c r="D9" s="7" t="s">
        <v>257</v>
      </c>
      <c r="E9" s="7">
        <v>100</v>
      </c>
    </row>
    <row r="11" spans="1:9" ht="15.75" thickBot="1" x14ac:dyDescent="0.3">
      <c r="D11" t="s">
        <v>258</v>
      </c>
    </row>
    <row r="12" spans="1:9" x14ac:dyDescent="0.25">
      <c r="D12" s="8"/>
      <c r="E12" s="8" t="s">
        <v>263</v>
      </c>
      <c r="F12" s="8" t="s">
        <v>264</v>
      </c>
      <c r="G12" s="8" t="s">
        <v>265</v>
      </c>
      <c r="H12" s="8" t="s">
        <v>266</v>
      </c>
      <c r="I12" s="8" t="s">
        <v>267</v>
      </c>
    </row>
    <row r="13" spans="1:9" x14ac:dyDescent="0.25">
      <c r="D13" s="6" t="s">
        <v>259</v>
      </c>
      <c r="E13" s="6">
        <v>4</v>
      </c>
      <c r="F13" s="6">
        <v>884.69789648917254</v>
      </c>
      <c r="G13" s="6">
        <v>221.17447412229313</v>
      </c>
      <c r="H13" s="6">
        <v>55.377018723721712</v>
      </c>
      <c r="I13" s="6">
        <v>5.1069727960111458E-24</v>
      </c>
    </row>
    <row r="14" spans="1:9" x14ac:dyDescent="0.25">
      <c r="D14" s="6" t="s">
        <v>260</v>
      </c>
      <c r="E14" s="6">
        <v>95</v>
      </c>
      <c r="F14" s="6">
        <v>379.42770351082794</v>
      </c>
      <c r="G14" s="6">
        <v>3.9939758264297676</v>
      </c>
      <c r="H14" s="6"/>
      <c r="I14" s="6"/>
    </row>
    <row r="15" spans="1:9" ht="15.75" thickBot="1" x14ac:dyDescent="0.3">
      <c r="D15" s="7" t="s">
        <v>261</v>
      </c>
      <c r="E15" s="7">
        <v>99</v>
      </c>
      <c r="F15" s="7">
        <v>1264.1256000000005</v>
      </c>
      <c r="G15" s="7"/>
      <c r="H15" s="7"/>
      <c r="I15" s="7"/>
    </row>
    <row r="16" spans="1:9" ht="15.75" thickBot="1" x14ac:dyDescent="0.3"/>
    <row r="17" spans="4:12" x14ac:dyDescent="0.25">
      <c r="D17" s="8"/>
      <c r="E17" s="8" t="s">
        <v>268</v>
      </c>
      <c r="F17" s="8" t="s">
        <v>256</v>
      </c>
      <c r="G17" s="8" t="s">
        <v>269</v>
      </c>
      <c r="H17" s="8" t="s">
        <v>270</v>
      </c>
      <c r="I17" s="8" t="s">
        <v>271</v>
      </c>
      <c r="J17" s="8" t="s">
        <v>272</v>
      </c>
      <c r="K17" s="8" t="s">
        <v>273</v>
      </c>
      <c r="L17" s="8" t="s">
        <v>274</v>
      </c>
    </row>
    <row r="18" spans="4:12" x14ac:dyDescent="0.25">
      <c r="D18" s="6" t="s">
        <v>262</v>
      </c>
      <c r="E18" s="6">
        <v>20.168980427345918</v>
      </c>
      <c r="F18" s="6">
        <v>0.91258542232848738</v>
      </c>
      <c r="G18" s="6">
        <v>22.100923304126638</v>
      </c>
      <c r="H18" s="6">
        <v>3.208706645883931E-39</v>
      </c>
      <c r="I18" s="6">
        <v>18.3572693018838</v>
      </c>
      <c r="J18" s="6">
        <v>21.980691552808036</v>
      </c>
      <c r="K18" s="6">
        <v>18.3572693018838</v>
      </c>
      <c r="L18" s="6">
        <v>21.980691552808036</v>
      </c>
    </row>
    <row r="19" spans="4:12" x14ac:dyDescent="0.25">
      <c r="D19" s="6" t="s">
        <v>305</v>
      </c>
      <c r="E19" s="6">
        <v>0.11447192636176887</v>
      </c>
      <c r="F19" s="6">
        <v>6.4948546581016703E-2</v>
      </c>
      <c r="G19" s="6">
        <v>1.7625017400347334</v>
      </c>
      <c r="H19" s="6">
        <v>8.1200772838829968E-2</v>
      </c>
      <c r="I19" s="6">
        <v>-1.4467240914418089E-2</v>
      </c>
      <c r="J19" s="6">
        <v>0.24341109363795582</v>
      </c>
      <c r="K19" s="6">
        <v>-1.4467240914418089E-2</v>
      </c>
      <c r="L19" s="6">
        <v>0.24341109363795582</v>
      </c>
    </row>
    <row r="20" spans="4:12" x14ac:dyDescent="0.25">
      <c r="D20" s="6" t="s">
        <v>6</v>
      </c>
      <c r="E20" s="6">
        <v>1.9459443176321191E-4</v>
      </c>
      <c r="F20" s="6">
        <v>2.9978057600696507E-5</v>
      </c>
      <c r="G20" s="6">
        <v>6.4912288299389589</v>
      </c>
      <c r="H20" s="6">
        <v>3.8527953698413141E-9</v>
      </c>
      <c r="I20" s="6">
        <v>1.3508046282828355E-4</v>
      </c>
      <c r="J20" s="6">
        <v>2.5410840069814026E-4</v>
      </c>
      <c r="K20" s="6">
        <v>1.3508046282828355E-4</v>
      </c>
      <c r="L20" s="6">
        <v>2.5410840069814026E-4</v>
      </c>
    </row>
    <row r="21" spans="4:12" x14ac:dyDescent="0.25">
      <c r="D21" s="6" t="s">
        <v>7</v>
      </c>
      <c r="E21" s="6">
        <v>-0.7908083285783386</v>
      </c>
      <c r="F21" s="6">
        <v>7.9984175786170314E-2</v>
      </c>
      <c r="G21" s="6">
        <v>-9.8870597940833385</v>
      </c>
      <c r="H21" s="6">
        <v>2.8796212835885654E-16</v>
      </c>
      <c r="I21" s="6">
        <v>-0.94959699382239338</v>
      </c>
      <c r="J21" s="6">
        <v>-0.63201966333428383</v>
      </c>
      <c r="K21" s="6">
        <v>-0.94959699382239338</v>
      </c>
      <c r="L21" s="6">
        <v>-0.63201966333428383</v>
      </c>
    </row>
    <row r="22" spans="4:12" ht="15.75" thickBot="1" x14ac:dyDescent="0.3">
      <c r="D22" s="7" t="s">
        <v>8</v>
      </c>
      <c r="E22" s="7">
        <v>0.16802937693831771</v>
      </c>
      <c r="F22" s="7">
        <v>7.7575040570165107E-2</v>
      </c>
      <c r="G22" s="7">
        <v>2.166023706894983</v>
      </c>
      <c r="H22" s="7">
        <v>3.2812334529153192E-2</v>
      </c>
      <c r="I22" s="7">
        <v>1.4023449799417775E-2</v>
      </c>
      <c r="J22" s="7">
        <v>0.32203530407721764</v>
      </c>
      <c r="K22" s="7">
        <v>1.4023449799417775E-2</v>
      </c>
      <c r="L22" s="7">
        <v>0.32203530407721764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Coeficiente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Cortés Paredes</cp:lastModifiedBy>
  <dcterms:created xsi:type="dcterms:W3CDTF">2026-09-26T14:20:22Z</dcterms:created>
  <dcterms:modified xsi:type="dcterms:W3CDTF">2026-09-27T15:52:13Z</dcterms:modified>
</cp:coreProperties>
</file>